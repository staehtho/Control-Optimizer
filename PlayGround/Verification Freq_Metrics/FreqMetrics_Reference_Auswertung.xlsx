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Flo\Datenbox9000\ZHAW\Faecher\BA\Control-Optimizer\PlayGround\Verification Freq_Metrics\"/>
    </mc:Choice>
  </mc:AlternateContent>
  <xr:revisionPtr revIDLastSave="0" documentId="8_{98F84E77-E5F2-40B3-A5D0-90DB506776C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4" i="1" l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3" i="1"/>
  <c r="U62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3" i="1"/>
</calcChain>
</file>

<file path=xl/sharedStrings.xml><?xml version="1.0" encoding="utf-8"?>
<sst xmlns="http://schemas.openxmlformats.org/spreadsheetml/2006/main" count="167" uniqueCount="26">
  <si>
    <t>plant_type</t>
  </si>
  <si>
    <t>n_or_D</t>
  </si>
  <si>
    <t>LowerLimit</t>
  </si>
  <si>
    <t>UpperLimit</t>
  </si>
  <si>
    <t>Kp</t>
  </si>
  <si>
    <t>Ti</t>
  </si>
  <si>
    <t>Td</t>
  </si>
  <si>
    <t>Tf</t>
  </si>
  <si>
    <t>ITAE_ref</t>
  </si>
  <si>
    <t>pm_deg</t>
  </si>
  <si>
    <t>gm_db</t>
  </si>
  <si>
    <t>ms</t>
  </si>
  <si>
    <t>wc</t>
  </si>
  <si>
    <t>PT2</t>
  </si>
  <si>
    <t>inf</t>
  </si>
  <si>
    <t>PTn</t>
  </si>
  <si>
    <t>GM_dB</t>
  </si>
  <si>
    <t>PM_deg</t>
  </si>
  <si>
    <t>omega_c</t>
  </si>
  <si>
    <t>Ms</t>
  </si>
  <si>
    <t>Inf</t>
  </si>
  <si>
    <t>python</t>
  </si>
  <si>
    <t>matlab</t>
  </si>
  <si>
    <t>Gmdiff</t>
  </si>
  <si>
    <t>Pmdiff</t>
  </si>
  <si>
    <t>msdiff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</si>
</sst>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2"/>
  <sheetViews>
    <sheetView tabSelected="1" workbookViewId="0">
      <selection activeCell="I1" sqref="I1:I1048576"/>
    </sheetView>
  </sheetViews>
  <sheetFormatPr baseColWidth="10" defaultColWidth="9.140625" defaultRowHeight="15" x14ac:dyDescent="0.25"/>
  <cols>
    <col min="1" max="1" width="13.85546875" customWidth="1"/>
    <col min="22" max="22" width="12.7109375" bestFit="1" customWidth="1"/>
  </cols>
  <sheetData>
    <row r="1" spans="1:23" x14ac:dyDescent="0.25">
      <c r="A1" t="s">
        <v>21</v>
      </c>
      <c r="O1" t="s">
        <v>22</v>
      </c>
    </row>
    <row r="2" spans="1:23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O2" t="s">
        <v>16</v>
      </c>
      <c r="P2" t="s">
        <v>17</v>
      </c>
      <c r="Q2" t="s">
        <v>18</v>
      </c>
      <c r="R2" t="s">
        <v>19</v>
      </c>
      <c r="T2" t="s">
        <v>23</v>
      </c>
      <c r="U2" t="s">
        <v>24</v>
      </c>
      <c r="V2" t="s">
        <v>25</v>
      </c>
      <c r="W2" t="s">
        <v>12</v>
      </c>
    </row>
    <row r="3" spans="1:23" x14ac:dyDescent="0.25">
      <c r="A3" t="s">
        <v>13</v>
      </c>
      <c r="B3">
        <v>0</v>
      </c>
      <c r="C3">
        <v>-10</v>
      </c>
      <c r="D3">
        <v>10</v>
      </c>
      <c r="E3">
        <v>9.9733045150000006</v>
      </c>
      <c r="F3">
        <v>4.5450779590000003</v>
      </c>
      <c r="G3">
        <v>0.48310642199999998</v>
      </c>
      <c r="H3">
        <v>0.01</v>
      </c>
      <c r="I3">
        <v>0.18312578600000001</v>
      </c>
      <c r="J3">
        <v>65.883401969341762</v>
      </c>
      <c r="K3" t="s">
        <v>14</v>
      </c>
      <c r="L3">
        <v>1.0460945985363841</v>
      </c>
      <c r="M3">
        <v>5.36824300454421</v>
      </c>
      <c r="O3" s="1">
        <v>-102.639292771933</v>
      </c>
      <c r="P3">
        <v>65.887217499260004</v>
      </c>
      <c r="Q3">
        <v>5.3664916087373697</v>
      </c>
      <c r="R3">
        <v>1.0460998695055801</v>
      </c>
      <c r="T3" t="e">
        <f>K3-O3</f>
        <v>#VALUE!</v>
      </c>
      <c r="U3">
        <f>J3-P3</f>
        <v>-3.8155299182420777E-3</v>
      </c>
      <c r="V3">
        <f>L3-R3</f>
        <v>-5.2709691960028948E-6</v>
      </c>
      <c r="W3">
        <f>M3-Q3</f>
        <v>1.7513958068402502E-3</v>
      </c>
    </row>
    <row r="4" spans="1:23" x14ac:dyDescent="0.25">
      <c r="A4" t="s">
        <v>13</v>
      </c>
      <c r="B4">
        <v>0</v>
      </c>
      <c r="C4">
        <v>-5</v>
      </c>
      <c r="D4">
        <v>5</v>
      </c>
      <c r="E4">
        <v>10</v>
      </c>
      <c r="F4">
        <v>5.2227624610000003</v>
      </c>
      <c r="G4">
        <v>0.49200644599999999</v>
      </c>
      <c r="H4">
        <v>0.01</v>
      </c>
      <c r="I4">
        <v>0.21281341600000001</v>
      </c>
      <c r="J4">
        <v>66.551807896169151</v>
      </c>
      <c r="K4" t="s">
        <v>14</v>
      </c>
      <c r="L4">
        <v>1.0464951146525789</v>
      </c>
      <c r="M4">
        <v>5.4621338365697172</v>
      </c>
      <c r="O4" s="1">
        <v>-103.907149061271</v>
      </c>
      <c r="P4">
        <v>66.556448092888303</v>
      </c>
      <c r="Q4">
        <v>5.4599593472376302</v>
      </c>
      <c r="R4">
        <v>1.04650419156045</v>
      </c>
      <c r="T4" t="e">
        <f>K4-O4</f>
        <v>#VALUE!</v>
      </c>
      <c r="U4">
        <f>J4-P4</f>
        <v>-4.6401967191513904E-3</v>
      </c>
      <c r="V4">
        <f>L4-R4</f>
        <v>-9.076907871108375E-6</v>
      </c>
      <c r="W4">
        <f t="shared" ref="W4:W62" si="0">M4-Q4</f>
        <v>2.1744893320869707E-3</v>
      </c>
    </row>
    <row r="5" spans="1:23" x14ac:dyDescent="0.25">
      <c r="A5" t="s">
        <v>13</v>
      </c>
      <c r="B5">
        <v>0</v>
      </c>
      <c r="C5">
        <v>-3</v>
      </c>
      <c r="D5">
        <v>3</v>
      </c>
      <c r="E5">
        <v>10</v>
      </c>
      <c r="F5">
        <v>6.1283481210000001</v>
      </c>
      <c r="G5">
        <v>0.48885198400000002</v>
      </c>
      <c r="H5">
        <v>0.01</v>
      </c>
      <c r="I5">
        <v>0.27153760599999999</v>
      </c>
      <c r="J5">
        <v>66.419676094699568</v>
      </c>
      <c r="K5" t="s">
        <v>14</v>
      </c>
      <c r="L5">
        <v>1.0463801866528799</v>
      </c>
      <c r="M5">
        <v>5.4438749989384201</v>
      </c>
      <c r="O5" s="1">
        <v>-104.656462621618</v>
      </c>
      <c r="P5">
        <v>66.424380887500106</v>
      </c>
      <c r="Q5">
        <v>5.4416129065612502</v>
      </c>
      <c r="R5">
        <v>1.04638251337882</v>
      </c>
      <c r="T5" t="e">
        <f>K5-O5</f>
        <v>#VALUE!</v>
      </c>
      <c r="U5">
        <f>J5-P5</f>
        <v>-4.704792800538371E-3</v>
      </c>
      <c r="V5">
        <f>L5-R5</f>
        <v>-2.3267259401382745E-6</v>
      </c>
      <c r="W5">
        <f t="shared" si="0"/>
        <v>2.2620923771698997E-3</v>
      </c>
    </row>
    <row r="6" spans="1:23" x14ac:dyDescent="0.25">
      <c r="A6" t="s">
        <v>13</v>
      </c>
      <c r="B6">
        <v>0</v>
      </c>
      <c r="C6">
        <v>-2</v>
      </c>
      <c r="D6">
        <v>2</v>
      </c>
      <c r="E6">
        <v>9.9781947300000002</v>
      </c>
      <c r="F6">
        <v>7.2268967530000001</v>
      </c>
      <c r="G6">
        <v>0.48852404999999999</v>
      </c>
      <c r="H6">
        <v>0.01</v>
      </c>
      <c r="I6">
        <v>0.35594226200000001</v>
      </c>
      <c r="J6">
        <v>66.426013086326037</v>
      </c>
      <c r="K6" t="s">
        <v>14</v>
      </c>
      <c r="L6">
        <v>1.046296918904021</v>
      </c>
      <c r="M6">
        <v>5.4378589841906573</v>
      </c>
      <c r="O6" s="1">
        <v>-105.339816054095</v>
      </c>
      <c r="P6">
        <v>66.430650305115606</v>
      </c>
      <c r="Q6">
        <v>5.4355824860127697</v>
      </c>
      <c r="R6">
        <v>1.0462979445448399</v>
      </c>
      <c r="T6" t="e">
        <f>K6-O6</f>
        <v>#VALUE!</v>
      </c>
      <c r="U6">
        <f>J6-P6</f>
        <v>-4.6372187895684647E-3</v>
      </c>
      <c r="V6">
        <f>L6-R6</f>
        <v>-1.025640818941298E-6</v>
      </c>
      <c r="W6">
        <f t="shared" si="0"/>
        <v>2.2764981778875537E-3</v>
      </c>
    </row>
    <row r="7" spans="1:23" x14ac:dyDescent="0.25">
      <c r="A7" t="s">
        <v>13</v>
      </c>
      <c r="B7">
        <v>0.1</v>
      </c>
      <c r="C7">
        <v>-10</v>
      </c>
      <c r="D7">
        <v>10</v>
      </c>
      <c r="E7">
        <v>9.9927735799999997</v>
      </c>
      <c r="F7">
        <v>4.6321568989999999</v>
      </c>
      <c r="G7">
        <v>0.47038781299999999</v>
      </c>
      <c r="H7">
        <v>9.999999999999995E-2</v>
      </c>
      <c r="I7">
        <v>0.18264011299999999</v>
      </c>
      <c r="J7">
        <v>45.240972162572547</v>
      </c>
      <c r="K7" t="s">
        <v>14</v>
      </c>
      <c r="L7">
        <v>1.494300249319422</v>
      </c>
      <c r="M7">
        <v>5.4042692191327752</v>
      </c>
      <c r="O7" t="s">
        <v>20</v>
      </c>
      <c r="P7">
        <v>45.2489073546162</v>
      </c>
      <c r="Q7">
        <v>5.4026482198872001</v>
      </c>
      <c r="R7">
        <v>1.4943253696655501</v>
      </c>
      <c r="T7" t="e">
        <f>K7-O7</f>
        <v>#VALUE!</v>
      </c>
      <c r="U7">
        <f>J7-P7</f>
        <v>-7.9351920436536716E-3</v>
      </c>
      <c r="V7">
        <f>L7-R7</f>
        <v>-2.5120346128115756E-5</v>
      </c>
      <c r="W7">
        <f t="shared" si="0"/>
        <v>1.6209992455751276E-3</v>
      </c>
    </row>
    <row r="8" spans="1:23" x14ac:dyDescent="0.25">
      <c r="A8" t="s">
        <v>13</v>
      </c>
      <c r="B8">
        <v>0.1</v>
      </c>
      <c r="C8">
        <v>-5</v>
      </c>
      <c r="D8">
        <v>5</v>
      </c>
      <c r="E8">
        <v>9.9650532960000007</v>
      </c>
      <c r="F8">
        <v>5.1242531390000003</v>
      </c>
      <c r="G8">
        <v>0.46167076299999998</v>
      </c>
      <c r="H8">
        <v>9.999999999999995E-2</v>
      </c>
      <c r="I8">
        <v>0.21521963</v>
      </c>
      <c r="J8">
        <v>45.125829022479003</v>
      </c>
      <c r="K8" t="s">
        <v>14</v>
      </c>
      <c r="L8">
        <v>1.4933832419099029</v>
      </c>
      <c r="M8">
        <v>5.3418121878557816</v>
      </c>
      <c r="O8" t="s">
        <v>20</v>
      </c>
      <c r="P8">
        <v>45.130698778462502</v>
      </c>
      <c r="Q8">
        <v>5.3407356995413098</v>
      </c>
      <c r="R8">
        <v>1.4938882905285999</v>
      </c>
      <c r="T8" t="e">
        <f>K8-O8</f>
        <v>#VALUE!</v>
      </c>
      <c r="U8">
        <f>J8-P8</f>
        <v>-4.8697559834991466E-3</v>
      </c>
      <c r="V8">
        <f>L8-R8</f>
        <v>-5.0504861869704598E-4</v>
      </c>
      <c r="W8">
        <f t="shared" si="0"/>
        <v>1.076488314471824E-3</v>
      </c>
    </row>
    <row r="9" spans="1:23" x14ac:dyDescent="0.25">
      <c r="A9" t="s">
        <v>13</v>
      </c>
      <c r="B9">
        <v>0.1</v>
      </c>
      <c r="C9">
        <v>-3</v>
      </c>
      <c r="D9">
        <v>3</v>
      </c>
      <c r="E9">
        <v>9.9827505300000006</v>
      </c>
      <c r="F9">
        <v>6.2014412559999998</v>
      </c>
      <c r="G9">
        <v>0.47049885200000002</v>
      </c>
      <c r="H9">
        <v>9.999999999999995E-2</v>
      </c>
      <c r="I9">
        <v>0.27756297299999999</v>
      </c>
      <c r="J9">
        <v>45.383577177786982</v>
      </c>
      <c r="K9" t="s">
        <v>14</v>
      </c>
      <c r="L9">
        <v>1.4922233872964961</v>
      </c>
      <c r="M9">
        <v>5.4106620803629673</v>
      </c>
      <c r="O9" t="s">
        <v>20</v>
      </c>
      <c r="P9">
        <v>45.391749189338199</v>
      </c>
      <c r="Q9">
        <v>5.4088584818654901</v>
      </c>
      <c r="R9">
        <v>1.4922282245001199</v>
      </c>
      <c r="T9" t="e">
        <f>K9-O9</f>
        <v>#VALUE!</v>
      </c>
      <c r="U9">
        <f>J9-P9</f>
        <v>-8.17201155121694E-3</v>
      </c>
      <c r="V9">
        <f>L9-R9</f>
        <v>-4.8372036238752969E-6</v>
      </c>
      <c r="W9">
        <f t="shared" si="0"/>
        <v>1.8035984974771324E-3</v>
      </c>
    </row>
    <row r="10" spans="1:23" x14ac:dyDescent="0.25">
      <c r="A10" t="s">
        <v>13</v>
      </c>
      <c r="B10">
        <v>0.1</v>
      </c>
      <c r="C10">
        <v>-2</v>
      </c>
      <c r="D10">
        <v>2</v>
      </c>
      <c r="E10">
        <v>9.9498596179999996</v>
      </c>
      <c r="F10">
        <v>7.2899253509999999</v>
      </c>
      <c r="G10">
        <v>0.45974630300000002</v>
      </c>
      <c r="H10">
        <v>9.999999999999995E-2</v>
      </c>
      <c r="I10">
        <v>0.36921511600000001</v>
      </c>
      <c r="J10">
        <v>45.241993320268158</v>
      </c>
      <c r="K10" t="s">
        <v>14</v>
      </c>
      <c r="L10">
        <v>1.491156669971003</v>
      </c>
      <c r="M10">
        <v>5.3341503878011371</v>
      </c>
      <c r="O10" t="s">
        <v>20</v>
      </c>
      <c r="P10">
        <v>45.246097138291802</v>
      </c>
      <c r="Q10">
        <v>5.3332423534204301</v>
      </c>
      <c r="R10">
        <v>1.4917068412135901</v>
      </c>
      <c r="T10" t="e">
        <f>K10-O10</f>
        <v>#VALUE!</v>
      </c>
      <c r="U10">
        <f>J10-P10</f>
        <v>-4.1038180236441235E-3</v>
      </c>
      <c r="V10">
        <f>L10-R10</f>
        <v>-5.5017124258704975E-4</v>
      </c>
      <c r="W10">
        <f t="shared" si="0"/>
        <v>9.0803438070707898E-4</v>
      </c>
    </row>
    <row r="11" spans="1:23" x14ac:dyDescent="0.25">
      <c r="A11" t="s">
        <v>13</v>
      </c>
      <c r="B11">
        <v>0.2</v>
      </c>
      <c r="C11">
        <v>-10</v>
      </c>
      <c r="D11">
        <v>10</v>
      </c>
      <c r="E11">
        <v>10</v>
      </c>
      <c r="F11">
        <v>4.678343044</v>
      </c>
      <c r="G11">
        <v>0.45415472200000001</v>
      </c>
      <c r="H11">
        <v>4.9999999999999989E-2</v>
      </c>
      <c r="I11">
        <v>0.18344822799999999</v>
      </c>
      <c r="J11">
        <v>58.62337128479723</v>
      </c>
      <c r="K11" t="s">
        <v>14</v>
      </c>
      <c r="L11">
        <v>1.2184229131237501</v>
      </c>
      <c r="M11">
        <v>5.3127377119363279</v>
      </c>
      <c r="O11" t="s">
        <v>20</v>
      </c>
      <c r="P11">
        <v>58.625208794512602</v>
      </c>
      <c r="Q11">
        <v>5.3122417342045596</v>
      </c>
      <c r="R11">
        <v>1.21848462467986</v>
      </c>
      <c r="T11" t="e">
        <f>K11-O11</f>
        <v>#VALUE!</v>
      </c>
      <c r="U11">
        <f>J11-P11</f>
        <v>-1.8375097153722209E-3</v>
      </c>
      <c r="V11">
        <f>L11-R11</f>
        <v>-6.1711556109900201E-5</v>
      </c>
      <c r="W11">
        <f t="shared" si="0"/>
        <v>4.9597773176834892E-4</v>
      </c>
    </row>
    <row r="12" spans="1:23" x14ac:dyDescent="0.25">
      <c r="A12" t="s">
        <v>13</v>
      </c>
      <c r="B12">
        <v>0.2</v>
      </c>
      <c r="C12">
        <v>-5</v>
      </c>
      <c r="D12">
        <v>5</v>
      </c>
      <c r="E12">
        <v>9.9739130570000007</v>
      </c>
      <c r="F12">
        <v>5.252388302</v>
      </c>
      <c r="G12">
        <v>0.45226522400000002</v>
      </c>
      <c r="H12">
        <v>4.9999999999999989E-2</v>
      </c>
      <c r="I12">
        <v>0.21695107199999999</v>
      </c>
      <c r="J12">
        <v>58.603402234078601</v>
      </c>
      <c r="K12" t="s">
        <v>14</v>
      </c>
      <c r="L12">
        <v>1.2178429490425331</v>
      </c>
      <c r="M12">
        <v>5.2924859367196344</v>
      </c>
      <c r="O12" t="s">
        <v>20</v>
      </c>
      <c r="P12">
        <v>58.603631939453599</v>
      </c>
      <c r="Q12">
        <v>5.2924231215102902</v>
      </c>
      <c r="R12">
        <v>1.21795611193352</v>
      </c>
      <c r="T12" t="e">
        <f>K12-O12</f>
        <v>#VALUE!</v>
      </c>
      <c r="U12">
        <f>J12-P12</f>
        <v>-2.2970537499844568E-4</v>
      </c>
      <c r="V12">
        <f>L12-R12</f>
        <v>-1.1316289098695087E-4</v>
      </c>
      <c r="W12">
        <f t="shared" si="0"/>
        <v>6.2815209344257994E-5</v>
      </c>
    </row>
    <row r="13" spans="1:23" x14ac:dyDescent="0.25">
      <c r="A13" t="s">
        <v>13</v>
      </c>
      <c r="B13">
        <v>0.2</v>
      </c>
      <c r="C13">
        <v>-3</v>
      </c>
      <c r="D13">
        <v>3</v>
      </c>
      <c r="E13">
        <v>10</v>
      </c>
      <c r="F13">
        <v>6.3429875960000004</v>
      </c>
      <c r="G13">
        <v>0.45768881300000003</v>
      </c>
      <c r="H13">
        <v>4.9999999999999989E-2</v>
      </c>
      <c r="I13">
        <v>0.285030752</v>
      </c>
      <c r="J13">
        <v>58.8860096615213</v>
      </c>
      <c r="K13" t="s">
        <v>14</v>
      </c>
      <c r="L13">
        <v>1.218302492719302</v>
      </c>
      <c r="M13">
        <v>5.3537174146125723</v>
      </c>
      <c r="O13" t="s">
        <v>20</v>
      </c>
      <c r="P13">
        <v>58.890943445644098</v>
      </c>
      <c r="Q13">
        <v>5.35234840379111</v>
      </c>
      <c r="R13">
        <v>1.21830742747593</v>
      </c>
      <c r="T13" t="e">
        <f>K13-O13</f>
        <v>#VALUE!</v>
      </c>
      <c r="U13">
        <f>J13-P13</f>
        <v>-4.9337841227981016E-3</v>
      </c>
      <c r="V13">
        <f>L13-R13</f>
        <v>-4.9347566279944743E-6</v>
      </c>
      <c r="W13">
        <f t="shared" si="0"/>
        <v>1.3690108214623464E-3</v>
      </c>
    </row>
    <row r="14" spans="1:23" x14ac:dyDescent="0.25">
      <c r="A14" t="s">
        <v>13</v>
      </c>
      <c r="B14">
        <v>0.2</v>
      </c>
      <c r="C14">
        <v>-2</v>
      </c>
      <c r="D14">
        <v>2</v>
      </c>
      <c r="E14">
        <v>10</v>
      </c>
      <c r="F14">
        <v>7.6307812659999996</v>
      </c>
      <c r="G14">
        <v>0.46204991000000001</v>
      </c>
      <c r="H14">
        <v>4.9999999999999989E-2</v>
      </c>
      <c r="I14">
        <v>0.38227060699999998</v>
      </c>
      <c r="J14">
        <v>59.104687009702999</v>
      </c>
      <c r="K14" t="s">
        <v>14</v>
      </c>
      <c r="L14">
        <v>1.218350363803665</v>
      </c>
      <c r="M14">
        <v>5.3934831755815704</v>
      </c>
      <c r="O14" t="s">
        <v>20</v>
      </c>
      <c r="P14">
        <v>59.111379166827703</v>
      </c>
      <c r="Q14">
        <v>5.3916035793964898</v>
      </c>
      <c r="R14">
        <v>1.2183615128587</v>
      </c>
      <c r="T14" t="e">
        <f>K14-O14</f>
        <v>#VALUE!</v>
      </c>
      <c r="U14">
        <f>J14-P14</f>
        <v>-6.6921571247036127E-3</v>
      </c>
      <c r="V14">
        <f>L14-R14</f>
        <v>-1.1149055034964661E-5</v>
      </c>
      <c r="W14">
        <f t="shared" si="0"/>
        <v>1.8795961850806009E-3</v>
      </c>
    </row>
    <row r="15" spans="1:23" x14ac:dyDescent="0.25">
      <c r="A15" t="s">
        <v>13</v>
      </c>
      <c r="B15">
        <v>0.3</v>
      </c>
      <c r="C15">
        <v>-10</v>
      </c>
      <c r="D15">
        <v>10</v>
      </c>
      <c r="E15">
        <v>10</v>
      </c>
      <c r="F15">
        <v>4.5630690930000002</v>
      </c>
      <c r="G15">
        <v>0.42285311599999997</v>
      </c>
      <c r="H15">
        <v>3.3333333333333333E-2</v>
      </c>
      <c r="I15">
        <v>0.183817597</v>
      </c>
      <c r="J15">
        <v>63.422562942953412</v>
      </c>
      <c r="K15" t="s">
        <v>14</v>
      </c>
      <c r="L15">
        <v>1.1354918012293871</v>
      </c>
      <c r="M15">
        <v>5.0030808919509573</v>
      </c>
      <c r="O15" t="s">
        <v>20</v>
      </c>
      <c r="P15">
        <v>63.424435949939003</v>
      </c>
      <c r="Q15">
        <v>5.0022955676799103</v>
      </c>
      <c r="R15">
        <v>1.13554733662247</v>
      </c>
      <c r="T15" t="e">
        <f>K15-O15</f>
        <v>#VALUE!</v>
      </c>
      <c r="U15">
        <f>J15-P15</f>
        <v>-1.873006985590564E-3</v>
      </c>
      <c r="V15">
        <f>L15-R15</f>
        <v>-5.5535393082895013E-5</v>
      </c>
      <c r="W15">
        <f t="shared" si="0"/>
        <v>7.853242710469388E-4</v>
      </c>
    </row>
    <row r="16" spans="1:23" x14ac:dyDescent="0.25">
      <c r="A16" t="s">
        <v>13</v>
      </c>
      <c r="B16">
        <v>0.3</v>
      </c>
      <c r="C16">
        <v>-5</v>
      </c>
      <c r="D16">
        <v>5</v>
      </c>
      <c r="E16">
        <v>9.9963344680000006</v>
      </c>
      <c r="F16">
        <v>5.3213177490000003</v>
      </c>
      <c r="G16">
        <v>0.435278632</v>
      </c>
      <c r="H16">
        <v>3.3333333333333333E-2</v>
      </c>
      <c r="I16">
        <v>0.218316964</v>
      </c>
      <c r="J16">
        <v>64.173395187315734</v>
      </c>
      <c r="K16" t="s">
        <v>14</v>
      </c>
      <c r="L16">
        <v>1.1359424303113681</v>
      </c>
      <c r="M16">
        <v>5.1057446525217163</v>
      </c>
      <c r="O16" t="s">
        <v>20</v>
      </c>
      <c r="P16">
        <v>64.177581788438602</v>
      </c>
      <c r="Q16">
        <v>5.1040321572381497</v>
      </c>
      <c r="R16">
        <v>1.13595623378808</v>
      </c>
      <c r="T16" t="e">
        <f>K16-O16</f>
        <v>#VALUE!</v>
      </c>
      <c r="U16">
        <f>J16-P16</f>
        <v>-4.186601122867728E-3</v>
      </c>
      <c r="V16">
        <f>L16-R16</f>
        <v>-1.3803476711871099E-5</v>
      </c>
      <c r="W16">
        <f t="shared" si="0"/>
        <v>1.7124952835665397E-3</v>
      </c>
    </row>
    <row r="17" spans="1:23" x14ac:dyDescent="0.25">
      <c r="A17" t="s">
        <v>13</v>
      </c>
      <c r="B17">
        <v>0.3</v>
      </c>
      <c r="C17">
        <v>-3</v>
      </c>
      <c r="D17">
        <v>3</v>
      </c>
      <c r="E17">
        <v>10</v>
      </c>
      <c r="F17">
        <v>6.4617728400000001</v>
      </c>
      <c r="G17">
        <v>0.441781066</v>
      </c>
      <c r="H17">
        <v>3.3333333333333333E-2</v>
      </c>
      <c r="I17">
        <v>0.28991675300000003</v>
      </c>
      <c r="J17">
        <v>64.585503447494105</v>
      </c>
      <c r="K17" t="s">
        <v>14</v>
      </c>
      <c r="L17">
        <v>1.136233400251238</v>
      </c>
      <c r="M17">
        <v>5.1666763159097444</v>
      </c>
      <c r="O17" t="s">
        <v>20</v>
      </c>
      <c r="P17">
        <v>64.590546299345505</v>
      </c>
      <c r="Q17">
        <v>5.1645755418997901</v>
      </c>
      <c r="R17">
        <v>1.1362854928802699</v>
      </c>
      <c r="T17" t="e">
        <f>K17-O17</f>
        <v>#VALUE!</v>
      </c>
      <c r="U17">
        <f>J17-P17</f>
        <v>-5.0428518513996323E-3</v>
      </c>
      <c r="V17">
        <f>L17-R17</f>
        <v>-5.2092629031941229E-5</v>
      </c>
      <c r="W17">
        <f t="shared" si="0"/>
        <v>2.1007740099543426E-3</v>
      </c>
    </row>
    <row r="18" spans="1:23" x14ac:dyDescent="0.25">
      <c r="A18" t="s">
        <v>13</v>
      </c>
      <c r="B18">
        <v>0.3</v>
      </c>
      <c r="C18">
        <v>-2</v>
      </c>
      <c r="D18">
        <v>2</v>
      </c>
      <c r="E18">
        <v>9.9583094939999999</v>
      </c>
      <c r="F18">
        <v>7.7052045439999999</v>
      </c>
      <c r="G18">
        <v>0.43194484399999999</v>
      </c>
      <c r="H18">
        <v>3.3333333333333333E-2</v>
      </c>
      <c r="I18">
        <v>0.39833406599999999</v>
      </c>
      <c r="J18">
        <v>64.143689751832582</v>
      </c>
      <c r="K18" t="s">
        <v>14</v>
      </c>
      <c r="L18">
        <v>1.135347923404701</v>
      </c>
      <c r="M18">
        <v>5.0799251729965169</v>
      </c>
      <c r="O18" t="s">
        <v>20</v>
      </c>
      <c r="P18">
        <v>64.146683909622894</v>
      </c>
      <c r="Q18">
        <v>5.0786354531983804</v>
      </c>
      <c r="R18">
        <v>1.13534769477794</v>
      </c>
      <c r="T18" t="e">
        <f>K18-O18</f>
        <v>#VALUE!</v>
      </c>
      <c r="U18">
        <f>J18-P18</f>
        <v>-2.9941577903116467E-3</v>
      </c>
      <c r="V18">
        <f>L18-R18</f>
        <v>2.2862676107848756E-7</v>
      </c>
      <c r="W18">
        <f t="shared" si="0"/>
        <v>1.2897197981365238E-3</v>
      </c>
    </row>
    <row r="19" spans="1:23" x14ac:dyDescent="0.25">
      <c r="A19" t="s">
        <v>13</v>
      </c>
      <c r="B19">
        <v>0.4</v>
      </c>
      <c r="C19">
        <v>-10</v>
      </c>
      <c r="D19">
        <v>10</v>
      </c>
      <c r="E19">
        <v>9.9681393220000007</v>
      </c>
      <c r="F19">
        <v>4.6401802219999997</v>
      </c>
      <c r="G19">
        <v>0.41156881899999997</v>
      </c>
      <c r="H19">
        <v>2.5000000000000001E-2</v>
      </c>
      <c r="I19">
        <v>0.184542505</v>
      </c>
      <c r="J19">
        <v>66.972584553376322</v>
      </c>
      <c r="K19" t="s">
        <v>14</v>
      </c>
      <c r="L19">
        <v>1.0961462179113279</v>
      </c>
      <c r="M19">
        <v>4.8418792975481706</v>
      </c>
      <c r="O19" t="s">
        <v>20</v>
      </c>
      <c r="P19">
        <v>66.974986677159905</v>
      </c>
      <c r="Q19">
        <v>4.8403313769588099</v>
      </c>
      <c r="R19">
        <v>1.0961517577086199</v>
      </c>
      <c r="T19" t="e">
        <f>K19-O19</f>
        <v>#VALUE!</v>
      </c>
      <c r="U19">
        <f>J19-P19</f>
        <v>-2.4021237835825104E-3</v>
      </c>
      <c r="V19">
        <f>L19-R19</f>
        <v>-5.539797292009041E-6</v>
      </c>
      <c r="W19">
        <f t="shared" si="0"/>
        <v>1.5479205893607073E-3</v>
      </c>
    </row>
    <row r="20" spans="1:23" x14ac:dyDescent="0.25">
      <c r="A20" t="s">
        <v>13</v>
      </c>
      <c r="B20">
        <v>0.4</v>
      </c>
      <c r="C20">
        <v>-5</v>
      </c>
      <c r="D20">
        <v>5</v>
      </c>
      <c r="E20">
        <v>9.9857071259999994</v>
      </c>
      <c r="F20">
        <v>5.4396019969999996</v>
      </c>
      <c r="G20">
        <v>0.42587603099999999</v>
      </c>
      <c r="H20">
        <v>2.5000000000000001E-2</v>
      </c>
      <c r="I20">
        <v>0.22114568600000001</v>
      </c>
      <c r="J20">
        <v>67.927358607157146</v>
      </c>
      <c r="K20" t="s">
        <v>14</v>
      </c>
      <c r="L20">
        <v>1.0970147945243169</v>
      </c>
      <c r="M20">
        <v>4.9662884565997638</v>
      </c>
      <c r="O20" t="s">
        <v>20</v>
      </c>
      <c r="P20">
        <v>67.929783282943006</v>
      </c>
      <c r="Q20">
        <v>4.9647279787137002</v>
      </c>
      <c r="R20">
        <v>1.09702003020126</v>
      </c>
      <c r="T20" t="e">
        <f>K20-O20</f>
        <v>#VALUE!</v>
      </c>
      <c r="U20">
        <f>J20-P20</f>
        <v>-2.4246757858605861E-3</v>
      </c>
      <c r="V20">
        <f>L20-R20</f>
        <v>-5.2356769431050054E-6</v>
      </c>
      <c r="W20">
        <f t="shared" si="0"/>
        <v>1.5604778860636159E-3</v>
      </c>
    </row>
    <row r="21" spans="1:23" x14ac:dyDescent="0.25">
      <c r="A21" t="s">
        <v>13</v>
      </c>
      <c r="B21">
        <v>0.4</v>
      </c>
      <c r="C21">
        <v>-3</v>
      </c>
      <c r="D21">
        <v>3</v>
      </c>
      <c r="E21">
        <v>10</v>
      </c>
      <c r="F21">
        <v>6.4980882429999998</v>
      </c>
      <c r="G21">
        <v>0.41408351500000001</v>
      </c>
      <c r="H21">
        <v>2.5000000000000001E-2</v>
      </c>
      <c r="I21">
        <v>0.29746263699999997</v>
      </c>
      <c r="J21">
        <v>67.332828399431918</v>
      </c>
      <c r="K21" t="s">
        <v>14</v>
      </c>
      <c r="L21">
        <v>1.096392010906476</v>
      </c>
      <c r="M21">
        <v>4.8921403677866584</v>
      </c>
      <c r="O21" t="s">
        <v>20</v>
      </c>
      <c r="P21">
        <v>67.335769226195794</v>
      </c>
      <c r="Q21">
        <v>4.89009135507753</v>
      </c>
      <c r="R21">
        <v>1.09642638636953</v>
      </c>
      <c r="T21" t="e">
        <f>K21-O21</f>
        <v>#VALUE!</v>
      </c>
      <c r="U21">
        <f>J21-P21</f>
        <v>-2.9408267638757479E-3</v>
      </c>
      <c r="V21">
        <f>L21-R21</f>
        <v>-3.4375463054070465E-5</v>
      </c>
      <c r="W21">
        <f t="shared" si="0"/>
        <v>2.0490127091283838E-3</v>
      </c>
    </row>
    <row r="22" spans="1:23" x14ac:dyDescent="0.25">
      <c r="A22" t="s">
        <v>13</v>
      </c>
      <c r="B22">
        <v>0.4</v>
      </c>
      <c r="C22">
        <v>-2</v>
      </c>
      <c r="D22">
        <v>2</v>
      </c>
      <c r="E22">
        <v>9.9901375320000003</v>
      </c>
      <c r="F22">
        <v>7.9463780530000001</v>
      </c>
      <c r="G22">
        <v>0.41610009100000001</v>
      </c>
      <c r="H22">
        <v>2.5000000000000001E-2</v>
      </c>
      <c r="I22">
        <v>0.41598570899999998</v>
      </c>
      <c r="J22">
        <v>67.532184400165562</v>
      </c>
      <c r="K22" t="s">
        <v>14</v>
      </c>
      <c r="L22">
        <v>1.096410411873729</v>
      </c>
      <c r="M22">
        <v>4.9116037991786383</v>
      </c>
      <c r="O22" t="s">
        <v>20</v>
      </c>
      <c r="P22">
        <v>67.535050588378098</v>
      </c>
      <c r="Q22">
        <v>4.9095370381487102</v>
      </c>
      <c r="R22">
        <v>1.0964394750330999</v>
      </c>
      <c r="T22" t="e">
        <f>K22-O22</f>
        <v>#VALUE!</v>
      </c>
      <c r="U22">
        <f>J22-P22</f>
        <v>-2.8661882125362581E-3</v>
      </c>
      <c r="V22">
        <f>L22-R22</f>
        <v>-2.9063159370901204E-5</v>
      </c>
      <c r="W22">
        <f t="shared" si="0"/>
        <v>2.0667610299280881E-3</v>
      </c>
    </row>
    <row r="23" spans="1:23" x14ac:dyDescent="0.25">
      <c r="A23" t="s">
        <v>13</v>
      </c>
      <c r="B23">
        <v>0.5</v>
      </c>
      <c r="C23">
        <v>-10</v>
      </c>
      <c r="D23">
        <v>10</v>
      </c>
      <c r="E23">
        <v>9.9621513939999993</v>
      </c>
      <c r="F23">
        <v>4.7372666069999996</v>
      </c>
      <c r="G23">
        <v>0.40083538699999999</v>
      </c>
      <c r="H23">
        <v>0.02</v>
      </c>
      <c r="I23">
        <v>0.185987452</v>
      </c>
      <c r="J23">
        <v>69.739112282289653</v>
      </c>
      <c r="K23" t="s">
        <v>14</v>
      </c>
      <c r="L23">
        <v>1.0734711793376479</v>
      </c>
      <c r="M23">
        <v>4.7013783548897434</v>
      </c>
      <c r="O23" t="s">
        <v>20</v>
      </c>
      <c r="P23">
        <v>69.740470049573204</v>
      </c>
      <c r="Q23">
        <v>4.6996414788215004</v>
      </c>
      <c r="R23">
        <v>1.0734917977848599</v>
      </c>
      <c r="T23" t="e">
        <f>K23-O23</f>
        <v>#VALUE!</v>
      </c>
      <c r="U23">
        <f>J23-P23</f>
        <v>-1.3577672835509702E-3</v>
      </c>
      <c r="V23">
        <f>L23-R23</f>
        <v>-2.0618447212017443E-5</v>
      </c>
      <c r="W23">
        <f t="shared" si="0"/>
        <v>1.7368760682430207E-3</v>
      </c>
    </row>
    <row r="24" spans="1:23" x14ac:dyDescent="0.25">
      <c r="A24" t="s">
        <v>13</v>
      </c>
      <c r="B24">
        <v>0.5</v>
      </c>
      <c r="C24">
        <v>-5</v>
      </c>
      <c r="D24">
        <v>5</v>
      </c>
      <c r="E24">
        <v>10</v>
      </c>
      <c r="F24">
        <v>5.3649044689999998</v>
      </c>
      <c r="G24">
        <v>0.39331761599999998</v>
      </c>
      <c r="H24">
        <v>0.02</v>
      </c>
      <c r="I24">
        <v>0.22291756700000001</v>
      </c>
      <c r="J24">
        <v>69.339765691705921</v>
      </c>
      <c r="K24" t="s">
        <v>14</v>
      </c>
      <c r="L24">
        <v>1.073307495282698</v>
      </c>
      <c r="M24">
        <v>4.669002911588886</v>
      </c>
      <c r="O24" t="s">
        <v>20</v>
      </c>
      <c r="P24">
        <v>69.341094694103006</v>
      </c>
      <c r="Q24">
        <v>4.6670251904229598</v>
      </c>
      <c r="R24">
        <v>1.0733080550019001</v>
      </c>
      <c r="T24" t="e">
        <f>K24-O24</f>
        <v>#VALUE!</v>
      </c>
      <c r="U24">
        <f>J24-P24</f>
        <v>-1.3290023970853326E-3</v>
      </c>
      <c r="V24">
        <f>L24-R24</f>
        <v>-5.5971920209785253E-7</v>
      </c>
      <c r="W24">
        <f t="shared" si="0"/>
        <v>1.9777211659262051E-3</v>
      </c>
    </row>
    <row r="25" spans="1:23" x14ac:dyDescent="0.25">
      <c r="A25" t="s">
        <v>13</v>
      </c>
      <c r="B25">
        <v>0.5</v>
      </c>
      <c r="C25">
        <v>-3</v>
      </c>
      <c r="D25">
        <v>3</v>
      </c>
      <c r="E25">
        <v>10</v>
      </c>
      <c r="F25">
        <v>6.5620328040000002</v>
      </c>
      <c r="G25">
        <v>0.38951447</v>
      </c>
      <c r="H25">
        <v>0.02</v>
      </c>
      <c r="I25">
        <v>0.30800465700000002</v>
      </c>
      <c r="J25">
        <v>69.202833918362572</v>
      </c>
      <c r="K25" t="s">
        <v>14</v>
      </c>
      <c r="L25">
        <v>1.073107041943195</v>
      </c>
      <c r="M25">
        <v>4.6523011768164606</v>
      </c>
      <c r="O25" t="s">
        <v>20</v>
      </c>
      <c r="P25">
        <v>69.203949810614006</v>
      </c>
      <c r="Q25">
        <v>4.65031079678492</v>
      </c>
      <c r="R25">
        <v>1.0731218568508001</v>
      </c>
      <c r="T25" t="e">
        <f>K25-O25</f>
        <v>#VALUE!</v>
      </c>
      <c r="U25">
        <f>J25-P25</f>
        <v>-1.1158922514340475E-3</v>
      </c>
      <c r="V25">
        <f>L25-R25</f>
        <v>-1.4814907605131822E-5</v>
      </c>
      <c r="W25">
        <f t="shared" si="0"/>
        <v>1.9903800315406173E-3</v>
      </c>
    </row>
    <row r="26" spans="1:23" x14ac:dyDescent="0.25">
      <c r="A26" t="s">
        <v>13</v>
      </c>
      <c r="B26">
        <v>0.5</v>
      </c>
      <c r="C26">
        <v>-2</v>
      </c>
      <c r="D26">
        <v>2</v>
      </c>
      <c r="E26">
        <v>9.9557655349999994</v>
      </c>
      <c r="F26">
        <v>8.1624236549999996</v>
      </c>
      <c r="G26">
        <v>0.40316589600000002</v>
      </c>
      <c r="H26">
        <v>0.02</v>
      </c>
      <c r="I26">
        <v>0.437088368</v>
      </c>
      <c r="J26">
        <v>70.184064712318943</v>
      </c>
      <c r="K26" t="s">
        <v>14</v>
      </c>
      <c r="L26">
        <v>1.0735273825595559</v>
      </c>
      <c r="M26">
        <v>4.7429748645251664</v>
      </c>
      <c r="O26" t="s">
        <v>20</v>
      </c>
      <c r="P26">
        <v>70.184661509939303</v>
      </c>
      <c r="Q26">
        <v>4.7419605862255398</v>
      </c>
      <c r="R26">
        <v>1.0735420036291601</v>
      </c>
      <c r="T26" t="e">
        <f>K26-O26</f>
        <v>#VALUE!</v>
      </c>
      <c r="U26">
        <f>J26-P26</f>
        <v>-5.9679762036068951E-4</v>
      </c>
      <c r="V26">
        <f>L26-R26</f>
        <v>-1.4621069604148218E-5</v>
      </c>
      <c r="W26">
        <f t="shared" si="0"/>
        <v>1.0142782996265254E-3</v>
      </c>
    </row>
    <row r="27" spans="1:23" x14ac:dyDescent="0.25">
      <c r="A27" t="s">
        <v>13</v>
      </c>
      <c r="B27">
        <v>0.6</v>
      </c>
      <c r="C27">
        <v>-10</v>
      </c>
      <c r="D27">
        <v>10</v>
      </c>
      <c r="E27">
        <v>10</v>
      </c>
      <c r="F27">
        <v>4.6297598090000003</v>
      </c>
      <c r="G27">
        <v>0.36860016699999998</v>
      </c>
      <c r="H27">
        <v>1.666666666666667E-2</v>
      </c>
      <c r="I27">
        <v>0.185184926</v>
      </c>
      <c r="J27">
        <v>70.510412169619443</v>
      </c>
      <c r="K27" t="s">
        <v>14</v>
      </c>
      <c r="L27">
        <v>1.0579749950964461</v>
      </c>
      <c r="M27">
        <v>4.4244788822490353</v>
      </c>
      <c r="O27" t="s">
        <v>20</v>
      </c>
      <c r="P27">
        <v>70.510219842786597</v>
      </c>
      <c r="Q27">
        <v>4.4225854969281704</v>
      </c>
      <c r="R27">
        <v>1.0579867853409199</v>
      </c>
      <c r="T27" t="e">
        <f>K27-O27</f>
        <v>#VALUE!</v>
      </c>
      <c r="U27">
        <f>J27-P27</f>
        <v>1.9232683284542418E-4</v>
      </c>
      <c r="V27">
        <f>L27-R27</f>
        <v>-1.1790244473841582E-5</v>
      </c>
      <c r="W27">
        <f t="shared" si="0"/>
        <v>1.8933853208649154E-3</v>
      </c>
    </row>
    <row r="28" spans="1:23" x14ac:dyDescent="0.25">
      <c r="A28" t="s">
        <v>13</v>
      </c>
      <c r="B28">
        <v>0.6</v>
      </c>
      <c r="C28">
        <v>-5</v>
      </c>
      <c r="D28">
        <v>5</v>
      </c>
      <c r="E28">
        <v>10</v>
      </c>
      <c r="F28">
        <v>5.2735768849999998</v>
      </c>
      <c r="G28">
        <v>0.35940804799999998</v>
      </c>
      <c r="H28">
        <v>1.666666666666667E-2</v>
      </c>
      <c r="I28">
        <v>0.22611163500000001</v>
      </c>
      <c r="J28">
        <v>69.907550430786927</v>
      </c>
      <c r="K28" t="s">
        <v>14</v>
      </c>
      <c r="L28">
        <v>1.0576952773668991</v>
      </c>
      <c r="M28">
        <v>4.3703296308145623</v>
      </c>
      <c r="O28" t="s">
        <v>20</v>
      </c>
      <c r="P28">
        <v>69.907147322450598</v>
      </c>
      <c r="Q28">
        <v>4.3688937038297704</v>
      </c>
      <c r="R28">
        <v>1.05770352776078</v>
      </c>
      <c r="T28" t="e">
        <f>K28-O28</f>
        <v>#VALUE!</v>
      </c>
      <c r="U28">
        <f>J28-P28</f>
        <v>4.03108336328728E-4</v>
      </c>
      <c r="V28">
        <f>L28-R28</f>
        <v>-8.2503938809708188E-6</v>
      </c>
      <c r="W28">
        <f t="shared" si="0"/>
        <v>1.435926984791891E-3</v>
      </c>
    </row>
    <row r="29" spans="1:23" x14ac:dyDescent="0.25">
      <c r="A29" t="s">
        <v>13</v>
      </c>
      <c r="B29">
        <v>0.6</v>
      </c>
      <c r="C29">
        <v>-3</v>
      </c>
      <c r="D29">
        <v>3</v>
      </c>
      <c r="E29">
        <v>10</v>
      </c>
      <c r="F29">
        <v>6.7610616820000002</v>
      </c>
      <c r="G29">
        <v>0.38159032100000001</v>
      </c>
      <c r="H29">
        <v>1.666666666666667E-2</v>
      </c>
      <c r="I29">
        <v>0.31424841399999998</v>
      </c>
      <c r="J29">
        <v>71.744152986821845</v>
      </c>
      <c r="K29" t="s">
        <v>14</v>
      </c>
      <c r="L29">
        <v>1.058515296977951</v>
      </c>
      <c r="M29">
        <v>4.5360338467430408</v>
      </c>
      <c r="O29" t="s">
        <v>20</v>
      </c>
      <c r="P29">
        <v>71.744135061573502</v>
      </c>
      <c r="Q29">
        <v>4.5359166040868599</v>
      </c>
      <c r="R29">
        <v>1.0585233925628601</v>
      </c>
      <c r="T29" t="e">
        <f>K29-O29</f>
        <v>#VALUE!</v>
      </c>
      <c r="U29">
        <f>J29-P29</f>
        <v>1.7925248343431122E-5</v>
      </c>
      <c r="V29">
        <f>L29-R29</f>
        <v>-8.0955849091068899E-6</v>
      </c>
      <c r="W29">
        <f t="shared" si="0"/>
        <v>1.1724265618084928E-4</v>
      </c>
    </row>
    <row r="30" spans="1:23" x14ac:dyDescent="0.25">
      <c r="A30" t="s">
        <v>13</v>
      </c>
      <c r="B30">
        <v>0.6</v>
      </c>
      <c r="C30">
        <v>-2</v>
      </c>
      <c r="D30">
        <v>2</v>
      </c>
      <c r="E30">
        <v>9.9497140399999999</v>
      </c>
      <c r="F30">
        <v>8.3704423010000006</v>
      </c>
      <c r="G30">
        <v>0.38040859100000002</v>
      </c>
      <c r="H30">
        <v>1.666666666666667E-2</v>
      </c>
      <c r="I30">
        <v>0.46001431599999998</v>
      </c>
      <c r="J30">
        <v>71.750708124504627</v>
      </c>
      <c r="K30" t="s">
        <v>14</v>
      </c>
      <c r="L30">
        <v>1.0582187418055089</v>
      </c>
      <c r="M30">
        <v>4.5192557755466707</v>
      </c>
      <c r="O30" t="s">
        <v>20</v>
      </c>
      <c r="P30">
        <v>71.750551486681204</v>
      </c>
      <c r="Q30">
        <v>4.5186321330619501</v>
      </c>
      <c r="R30">
        <v>1.0582365466808501</v>
      </c>
      <c r="T30" t="e">
        <f>K30-O30</f>
        <v>#VALUE!</v>
      </c>
      <c r="U30">
        <f>J30-P30</f>
        <v>1.5663782342301147E-4</v>
      </c>
      <c r="V30">
        <f>L30-R30</f>
        <v>-1.7804875341198567E-5</v>
      </c>
      <c r="W30">
        <f t="shared" si="0"/>
        <v>6.2364248472057682E-4</v>
      </c>
    </row>
    <row r="31" spans="1:23" x14ac:dyDescent="0.25">
      <c r="A31" t="s">
        <v>13</v>
      </c>
      <c r="B31">
        <v>0.7</v>
      </c>
      <c r="C31">
        <v>-10</v>
      </c>
      <c r="D31">
        <v>10</v>
      </c>
      <c r="E31">
        <v>9.9990821360000002</v>
      </c>
      <c r="F31">
        <v>4.6565087519999997</v>
      </c>
      <c r="G31">
        <v>0.3509834</v>
      </c>
      <c r="H31">
        <v>1.428571428571429E-2</v>
      </c>
      <c r="I31">
        <v>0.18571416399999999</v>
      </c>
      <c r="J31">
        <v>72.003754783320048</v>
      </c>
      <c r="K31" t="s">
        <v>14</v>
      </c>
      <c r="L31">
        <v>1.04740849718772</v>
      </c>
      <c r="M31">
        <v>4.2432219082589722</v>
      </c>
      <c r="O31" t="s">
        <v>20</v>
      </c>
      <c r="P31">
        <v>72.002346887519195</v>
      </c>
      <c r="Q31">
        <v>4.2416597400500704</v>
      </c>
      <c r="R31">
        <v>1.0474092451916801</v>
      </c>
      <c r="T31" t="e">
        <f>K31-O31</f>
        <v>#VALUE!</v>
      </c>
      <c r="U31">
        <f>J31-P31</f>
        <v>1.4078958008525433E-3</v>
      </c>
      <c r="V31">
        <f>L31-R31</f>
        <v>-7.4800396010488157E-7</v>
      </c>
      <c r="W31">
        <f t="shared" si="0"/>
        <v>1.5621682089017597E-3</v>
      </c>
    </row>
    <row r="32" spans="1:23" x14ac:dyDescent="0.25">
      <c r="A32" t="s">
        <v>13</v>
      </c>
      <c r="B32">
        <v>0.7</v>
      </c>
      <c r="C32">
        <v>-5</v>
      </c>
      <c r="D32">
        <v>5</v>
      </c>
      <c r="E32">
        <v>9.9688582330000006</v>
      </c>
      <c r="F32">
        <v>5.439260344</v>
      </c>
      <c r="G32">
        <v>0.35583305399999998</v>
      </c>
      <c r="H32">
        <v>1.428571428571429E-2</v>
      </c>
      <c r="I32">
        <v>0.22805679800000001</v>
      </c>
      <c r="J32">
        <v>72.534472323637161</v>
      </c>
      <c r="K32" t="s">
        <v>14</v>
      </c>
      <c r="L32">
        <v>1.047459816770606</v>
      </c>
      <c r="M32">
        <v>4.2752344952809418</v>
      </c>
      <c r="O32" t="s">
        <v>20</v>
      </c>
      <c r="P32">
        <v>72.533504006125597</v>
      </c>
      <c r="Q32">
        <v>4.2742055654422799</v>
      </c>
      <c r="R32">
        <v>1.0474656904261199</v>
      </c>
      <c r="T32" t="e">
        <f>K32-O32</f>
        <v>#VALUE!</v>
      </c>
      <c r="U32">
        <f>J32-P32</f>
        <v>9.6831751156400969E-4</v>
      </c>
      <c r="V32">
        <f>L32-R32</f>
        <v>-5.873655513966014E-6</v>
      </c>
      <c r="W32">
        <f t="shared" si="0"/>
        <v>1.0289298386618739E-3</v>
      </c>
    </row>
    <row r="33" spans="1:23" x14ac:dyDescent="0.25">
      <c r="A33" t="s">
        <v>13</v>
      </c>
      <c r="B33">
        <v>0.7</v>
      </c>
      <c r="C33">
        <v>-3</v>
      </c>
      <c r="D33">
        <v>3</v>
      </c>
      <c r="E33">
        <v>10</v>
      </c>
      <c r="F33">
        <v>6.8225447060000004</v>
      </c>
      <c r="G33">
        <v>0.35229385000000002</v>
      </c>
      <c r="H33">
        <v>1.428571428571429E-2</v>
      </c>
      <c r="I33">
        <v>0.32470457800000002</v>
      </c>
      <c r="J33">
        <v>72.439291388136724</v>
      </c>
      <c r="K33" t="s">
        <v>14</v>
      </c>
      <c r="L33">
        <v>1.0474342393009211</v>
      </c>
      <c r="M33">
        <v>4.2753535315066937</v>
      </c>
      <c r="O33" t="s">
        <v>20</v>
      </c>
      <c r="P33">
        <v>72.438157680928498</v>
      </c>
      <c r="Q33">
        <v>4.27432380145419</v>
      </c>
      <c r="R33">
        <v>1.0474393628534899</v>
      </c>
      <c r="T33" t="e">
        <f>K33-O33</f>
        <v>#VALUE!</v>
      </c>
      <c r="U33">
        <f>J33-P33</f>
        <v>1.1337072082255872E-3</v>
      </c>
      <c r="V33">
        <f>L33-R33</f>
        <v>-5.1235525688753114E-6</v>
      </c>
      <c r="W33">
        <f t="shared" si="0"/>
        <v>1.0297300525037301E-3</v>
      </c>
    </row>
    <row r="34" spans="1:23" x14ac:dyDescent="0.25">
      <c r="A34" t="s">
        <v>13</v>
      </c>
      <c r="B34">
        <v>0.7</v>
      </c>
      <c r="C34">
        <v>-2</v>
      </c>
      <c r="D34">
        <v>2</v>
      </c>
      <c r="E34">
        <v>9.9689379559999995</v>
      </c>
      <c r="F34">
        <v>8.5924907899999994</v>
      </c>
      <c r="G34">
        <v>0.34969633500000002</v>
      </c>
      <c r="H34">
        <v>1.428571428571429E-2</v>
      </c>
      <c r="I34">
        <v>0.48701270899999999</v>
      </c>
      <c r="J34">
        <v>72.366187513863849</v>
      </c>
      <c r="K34" t="s">
        <v>14</v>
      </c>
      <c r="L34">
        <v>1.047236747297466</v>
      </c>
      <c r="M34">
        <v>4.2586692955377554</v>
      </c>
      <c r="O34" t="s">
        <v>20</v>
      </c>
      <c r="P34">
        <v>72.364513708613998</v>
      </c>
      <c r="Q34">
        <v>4.2573176673128499</v>
      </c>
      <c r="R34">
        <v>1.04723672356836</v>
      </c>
      <c r="T34" t="e">
        <f>K34-O34</f>
        <v>#VALUE!</v>
      </c>
      <c r="U34">
        <f>J34-P34</f>
        <v>1.6738052498510569E-3</v>
      </c>
      <c r="V34">
        <f>L34-R34</f>
        <v>2.3729106013448131E-8</v>
      </c>
      <c r="W34">
        <f t="shared" si="0"/>
        <v>1.3516282249055322E-3</v>
      </c>
    </row>
    <row r="35" spans="1:23" x14ac:dyDescent="0.25">
      <c r="A35" t="s">
        <v>13</v>
      </c>
      <c r="B35">
        <v>1</v>
      </c>
      <c r="C35">
        <v>-10</v>
      </c>
      <c r="D35">
        <v>10</v>
      </c>
      <c r="E35">
        <v>10</v>
      </c>
      <c r="F35">
        <v>4.740315667</v>
      </c>
      <c r="G35">
        <v>0.29834356200000001</v>
      </c>
      <c r="H35">
        <v>0.01</v>
      </c>
      <c r="I35">
        <v>0.187425548</v>
      </c>
      <c r="J35">
        <v>75.376457020517279</v>
      </c>
      <c r="K35" t="s">
        <v>14</v>
      </c>
      <c r="L35">
        <v>1.0288906619934119</v>
      </c>
      <c r="M35">
        <v>3.7125618033680858</v>
      </c>
      <c r="O35" t="s">
        <v>20</v>
      </c>
      <c r="P35">
        <v>75.375262103972005</v>
      </c>
      <c r="Q35">
        <v>3.7123311649569302</v>
      </c>
      <c r="R35">
        <v>1.0288917893998799</v>
      </c>
      <c r="T35" t="e">
        <f>K35-O35</f>
        <v>#VALUE!</v>
      </c>
      <c r="U35">
        <f>J35-P35</f>
        <v>1.1949165452733723E-3</v>
      </c>
      <c r="V35">
        <f>L35-R35</f>
        <v>-1.1274064679600571E-6</v>
      </c>
      <c r="W35">
        <f t="shared" si="0"/>
        <v>2.306384111556703E-4</v>
      </c>
    </row>
    <row r="36" spans="1:23" x14ac:dyDescent="0.25">
      <c r="A36" t="s">
        <v>13</v>
      </c>
      <c r="B36">
        <v>1</v>
      </c>
      <c r="C36">
        <v>-5</v>
      </c>
      <c r="D36">
        <v>5</v>
      </c>
      <c r="E36">
        <v>9.9925143710000004</v>
      </c>
      <c r="F36">
        <v>5.5186430870000001</v>
      </c>
      <c r="G36">
        <v>0.28814863600000001</v>
      </c>
      <c r="H36">
        <v>0.01</v>
      </c>
      <c r="I36">
        <v>0.241089053</v>
      </c>
      <c r="J36">
        <v>74.588931423338479</v>
      </c>
      <c r="K36" t="s">
        <v>14</v>
      </c>
      <c r="L36">
        <v>1.0288513147682341</v>
      </c>
      <c r="M36">
        <v>3.6679504941135419</v>
      </c>
      <c r="O36" t="s">
        <v>20</v>
      </c>
      <c r="P36">
        <v>74.586030570518602</v>
      </c>
      <c r="Q36">
        <v>3.6672970702284799</v>
      </c>
      <c r="R36">
        <v>1.02885240401996</v>
      </c>
      <c r="T36" t="e">
        <f>K36-O36</f>
        <v>#VALUE!</v>
      </c>
      <c r="U36">
        <f>J36-P36</f>
        <v>2.9008528198772865E-3</v>
      </c>
      <c r="V36">
        <f>L36-R36</f>
        <v>-1.0892517259275536E-6</v>
      </c>
      <c r="W36">
        <f t="shared" si="0"/>
        <v>6.5342388506195448E-4</v>
      </c>
    </row>
    <row r="37" spans="1:23" x14ac:dyDescent="0.25">
      <c r="A37" t="s">
        <v>13</v>
      </c>
      <c r="B37">
        <v>1</v>
      </c>
      <c r="C37">
        <v>-3</v>
      </c>
      <c r="D37">
        <v>3</v>
      </c>
      <c r="E37">
        <v>9.9998462870000004</v>
      </c>
      <c r="F37">
        <v>7.3148439920000001</v>
      </c>
      <c r="G37">
        <v>0.30170871900000001</v>
      </c>
      <c r="H37">
        <v>0.01</v>
      </c>
      <c r="I37">
        <v>0.36209383299999998</v>
      </c>
      <c r="J37">
        <v>76.233872836635356</v>
      </c>
      <c r="K37" t="s">
        <v>14</v>
      </c>
      <c r="L37">
        <v>1.02893640238197</v>
      </c>
      <c r="M37">
        <v>3.759792043910354</v>
      </c>
      <c r="O37" t="s">
        <v>20</v>
      </c>
      <c r="P37">
        <v>76.229720535426296</v>
      </c>
      <c r="Q37">
        <v>3.75868625277971</v>
      </c>
      <c r="R37">
        <v>1.0289408177627799</v>
      </c>
      <c r="T37" t="e">
        <f>K37-O37</f>
        <v>#VALUE!</v>
      </c>
      <c r="U37">
        <f>J37-P37</f>
        <v>4.1523012090607381E-3</v>
      </c>
      <c r="V37">
        <f>L37-R37</f>
        <v>-4.4153808098634784E-6</v>
      </c>
      <c r="W37">
        <f t="shared" si="0"/>
        <v>1.1057911306440182E-3</v>
      </c>
    </row>
    <row r="38" spans="1:23" x14ac:dyDescent="0.25">
      <c r="A38" t="s">
        <v>13</v>
      </c>
      <c r="B38">
        <v>1</v>
      </c>
      <c r="C38">
        <v>-2</v>
      </c>
      <c r="D38">
        <v>2</v>
      </c>
      <c r="E38">
        <v>9.9995432849999997</v>
      </c>
      <c r="F38">
        <v>9.5351158399999996</v>
      </c>
      <c r="G38">
        <v>0.288407315</v>
      </c>
      <c r="H38">
        <v>0.01</v>
      </c>
      <c r="I38">
        <v>0.59219104499999997</v>
      </c>
      <c r="J38">
        <v>75.189788585851744</v>
      </c>
      <c r="K38" t="s">
        <v>14</v>
      </c>
      <c r="L38">
        <v>1.0288422668456321</v>
      </c>
      <c r="M38">
        <v>3.698884834419486</v>
      </c>
      <c r="O38" t="s">
        <v>20</v>
      </c>
      <c r="P38">
        <v>75.189632152655193</v>
      </c>
      <c r="Q38">
        <v>3.6989370489504001</v>
      </c>
      <c r="R38">
        <v>1.02884226326702</v>
      </c>
      <c r="T38" t="e">
        <f>K38-O38</f>
        <v>#VALUE!</v>
      </c>
      <c r="U38">
        <f>J38-P38</f>
        <v>1.5643319655112009E-4</v>
      </c>
      <c r="V38">
        <f>L38-R38</f>
        <v>3.5786120733405369E-9</v>
      </c>
      <c r="W38">
        <f t="shared" si="0"/>
        <v>-5.2214530914085344E-5</v>
      </c>
    </row>
    <row r="39" spans="1:23" x14ac:dyDescent="0.25">
      <c r="A39" t="s">
        <v>15</v>
      </c>
      <c r="B39">
        <v>1</v>
      </c>
      <c r="C39">
        <v>-10</v>
      </c>
      <c r="D39">
        <v>10</v>
      </c>
      <c r="E39">
        <v>10</v>
      </c>
      <c r="F39">
        <v>0.99943345452210397</v>
      </c>
      <c r="G39">
        <v>0</v>
      </c>
      <c r="H39">
        <v>0.01</v>
      </c>
      <c r="I39">
        <v>1.00023008149966E-2</v>
      </c>
      <c r="J39">
        <v>89.996783586511341</v>
      </c>
      <c r="K39" t="s">
        <v>14</v>
      </c>
      <c r="L39">
        <v>0.99995000941744139</v>
      </c>
      <c r="M39">
        <v>10.00244113855196</v>
      </c>
      <c r="O39" t="s">
        <v>20</v>
      </c>
      <c r="P39">
        <v>89.996784289387193</v>
      </c>
      <c r="Q39">
        <v>10.000056142090299</v>
      </c>
      <c r="R39">
        <v>0.99999950005706195</v>
      </c>
      <c r="T39" t="e">
        <f>K39-O39</f>
        <v>#VALUE!</v>
      </c>
      <c r="U39">
        <f>J39-P39</f>
        <v>-7.0287585174355627E-7</v>
      </c>
      <c r="V39">
        <f>L39-R39</f>
        <v>-4.9490639620564103E-5</v>
      </c>
      <c r="W39">
        <f t="shared" si="0"/>
        <v>2.3849964616609043E-3</v>
      </c>
    </row>
    <row r="40" spans="1:23" x14ac:dyDescent="0.25">
      <c r="A40" t="s">
        <v>15</v>
      </c>
      <c r="B40">
        <v>1</v>
      </c>
      <c r="C40">
        <v>-5</v>
      </c>
      <c r="D40">
        <v>5</v>
      </c>
      <c r="E40">
        <v>10</v>
      </c>
      <c r="F40">
        <v>1.2773769140773099</v>
      </c>
      <c r="G40">
        <v>0</v>
      </c>
      <c r="H40">
        <v>0.01</v>
      </c>
      <c r="I40">
        <v>1.38106958858634E-2</v>
      </c>
      <c r="J40">
        <v>91.236897786543011</v>
      </c>
      <c r="K40" t="s">
        <v>14</v>
      </c>
      <c r="L40">
        <v>0.99994783264688392</v>
      </c>
      <c r="M40">
        <v>9.982941477489085</v>
      </c>
      <c r="O40" t="s">
        <v>20</v>
      </c>
      <c r="P40">
        <v>91.236641724329402</v>
      </c>
      <c r="Q40">
        <v>9.9807426200077796</v>
      </c>
      <c r="R40">
        <v>0.99999947828584002</v>
      </c>
      <c r="T40" t="e">
        <f>K40-O40</f>
        <v>#VALUE!</v>
      </c>
      <c r="U40">
        <f>J40-P40</f>
        <v>2.5606221360874315E-4</v>
      </c>
      <c r="V40">
        <f>L40-R40</f>
        <v>-5.1645638956099305E-5</v>
      </c>
      <c r="W40">
        <f t="shared" si="0"/>
        <v>2.1988574813054385E-3</v>
      </c>
    </row>
    <row r="41" spans="1:23" x14ac:dyDescent="0.25">
      <c r="A41" t="s">
        <v>15</v>
      </c>
      <c r="B41">
        <v>1</v>
      </c>
      <c r="C41">
        <v>-3</v>
      </c>
      <c r="D41">
        <v>3</v>
      </c>
      <c r="E41">
        <v>10</v>
      </c>
      <c r="F41">
        <v>1.9871843964512399</v>
      </c>
      <c r="G41">
        <v>0</v>
      </c>
      <c r="H41">
        <v>0.01</v>
      </c>
      <c r="I41">
        <v>2.9224990996149398E-2</v>
      </c>
      <c r="J41">
        <v>92.840783188054559</v>
      </c>
      <c r="K41" t="s">
        <v>14</v>
      </c>
      <c r="L41">
        <v>0.99994503681969715</v>
      </c>
      <c r="M41">
        <v>9.9646799633451852</v>
      </c>
      <c r="O41" t="s">
        <v>20</v>
      </c>
      <c r="P41">
        <v>92.840233239411305</v>
      </c>
      <c r="Q41">
        <v>9.9626870275278296</v>
      </c>
      <c r="R41">
        <v>0.99999945032291404</v>
      </c>
      <c r="T41" t="e">
        <f>K41-O41</f>
        <v>#VALUE!</v>
      </c>
      <c r="U41">
        <f>J41-P41</f>
        <v>5.4994864325408344E-4</v>
      </c>
      <c r="V41">
        <f>L41-R41</f>
        <v>-5.4413503216887982E-5</v>
      </c>
      <c r="W41">
        <f t="shared" si="0"/>
        <v>1.9929358173556011E-3</v>
      </c>
    </row>
    <row r="42" spans="1:23" x14ac:dyDescent="0.25">
      <c r="A42" t="s">
        <v>15</v>
      </c>
      <c r="B42">
        <v>1</v>
      </c>
      <c r="C42">
        <v>-2</v>
      </c>
      <c r="D42">
        <v>2</v>
      </c>
      <c r="E42">
        <v>10</v>
      </c>
      <c r="F42">
        <v>3.1150653501804699</v>
      </c>
      <c r="G42">
        <v>0</v>
      </c>
      <c r="H42">
        <v>0.01</v>
      </c>
      <c r="I42">
        <v>7.02806158784786E-2</v>
      </c>
      <c r="J42">
        <v>93.88993824337031</v>
      </c>
      <c r="K42" t="s">
        <v>14</v>
      </c>
      <c r="L42">
        <v>0.99994321509431727</v>
      </c>
      <c r="M42">
        <v>9.9569958531095324</v>
      </c>
      <c r="O42" t="s">
        <v>20</v>
      </c>
      <c r="P42">
        <v>93.8892105606282</v>
      </c>
      <c r="Q42">
        <v>9.9550984122266204</v>
      </c>
      <c r="R42">
        <v>0.99999943210254405</v>
      </c>
      <c r="T42" t="e">
        <f>K42-O42</f>
        <v>#VALUE!</v>
      </c>
      <c r="U42">
        <f>J42-P42</f>
        <v>7.2768274210943673E-4</v>
      </c>
      <c r="V42">
        <f>L42-R42</f>
        <v>-5.6217008226777665E-5</v>
      </c>
      <c r="W42">
        <f t="shared" si="0"/>
        <v>1.8974408829119938E-3</v>
      </c>
    </row>
    <row r="43" spans="1:23" x14ac:dyDescent="0.25">
      <c r="A43" t="s">
        <v>15</v>
      </c>
      <c r="B43">
        <v>2</v>
      </c>
      <c r="C43">
        <v>-10</v>
      </c>
      <c r="D43">
        <v>10</v>
      </c>
      <c r="E43">
        <v>9.9746200598226196</v>
      </c>
      <c r="F43">
        <v>4.6673098417079899</v>
      </c>
      <c r="G43">
        <v>0.292181801448334</v>
      </c>
      <c r="H43">
        <v>0.01</v>
      </c>
      <c r="I43">
        <v>0.18765646546280099</v>
      </c>
      <c r="J43">
        <v>74.737574762148682</v>
      </c>
      <c r="K43" t="s">
        <v>14</v>
      </c>
      <c r="L43">
        <v>1.028793473293887</v>
      </c>
      <c r="M43">
        <v>3.671443479023571</v>
      </c>
      <c r="O43" t="s">
        <v>20</v>
      </c>
      <c r="P43">
        <v>74.735171618926003</v>
      </c>
      <c r="Q43">
        <v>3.6708965122093198</v>
      </c>
      <c r="R43">
        <v>1.0287934695107499</v>
      </c>
      <c r="T43" t="e">
        <f>K43-O43</f>
        <v>#VALUE!</v>
      </c>
      <c r="U43">
        <f>J43-P43</f>
        <v>2.4031432226792049E-3</v>
      </c>
      <c r="V43">
        <f>L43-R43</f>
        <v>3.7831371368923783E-9</v>
      </c>
      <c r="W43">
        <f t="shared" si="0"/>
        <v>5.4696681425125959E-4</v>
      </c>
    </row>
    <row r="44" spans="1:23" x14ac:dyDescent="0.25">
      <c r="A44" t="s">
        <v>15</v>
      </c>
      <c r="B44">
        <v>2</v>
      </c>
      <c r="C44">
        <v>-5</v>
      </c>
      <c r="D44">
        <v>5</v>
      </c>
      <c r="E44">
        <v>10</v>
      </c>
      <c r="F44">
        <v>5.5045803926519996</v>
      </c>
      <c r="G44">
        <v>0.28534885916994301</v>
      </c>
      <c r="H44">
        <v>0.01</v>
      </c>
      <c r="I44">
        <v>0.239139759824291</v>
      </c>
      <c r="J44">
        <v>74.302715642151355</v>
      </c>
      <c r="K44" t="s">
        <v>14</v>
      </c>
      <c r="L44">
        <v>1.0289251942179909</v>
      </c>
      <c r="M44">
        <v>3.6556779169421159</v>
      </c>
      <c r="O44" t="s">
        <v>20</v>
      </c>
      <c r="P44">
        <v>74.298867829926095</v>
      </c>
      <c r="Q44">
        <v>3.65478433009732</v>
      </c>
      <c r="R44">
        <v>1.0289274110072999</v>
      </c>
      <c r="T44" t="e">
        <f>K44-O44</f>
        <v>#VALUE!</v>
      </c>
      <c r="U44">
        <f>J44-P44</f>
        <v>3.8478122252598723E-3</v>
      </c>
      <c r="V44">
        <f>L44-R44</f>
        <v>-2.2167893090063728E-6</v>
      </c>
      <c r="W44">
        <f t="shared" si="0"/>
        <v>8.9358684479590167E-4</v>
      </c>
    </row>
    <row r="45" spans="1:23" x14ac:dyDescent="0.25">
      <c r="A45" t="s">
        <v>15</v>
      </c>
      <c r="B45">
        <v>2</v>
      </c>
      <c r="C45">
        <v>-3</v>
      </c>
      <c r="D45">
        <v>3</v>
      </c>
      <c r="E45">
        <v>9.9609876155747905</v>
      </c>
      <c r="F45">
        <v>7.2881230879229602</v>
      </c>
      <c r="G45">
        <v>0.30211043040589902</v>
      </c>
      <c r="H45">
        <v>0.01</v>
      </c>
      <c r="I45">
        <v>0.36238932606206198</v>
      </c>
      <c r="J45">
        <v>76.268783860291265</v>
      </c>
      <c r="K45" t="s">
        <v>14</v>
      </c>
      <c r="L45">
        <v>1.0288577005702371</v>
      </c>
      <c r="M45">
        <v>3.750187385960682</v>
      </c>
      <c r="O45" t="s">
        <v>20</v>
      </c>
      <c r="P45">
        <v>76.265021039606196</v>
      </c>
      <c r="Q45">
        <v>3.7492012483010901</v>
      </c>
      <c r="R45">
        <v>1.0288621309005801</v>
      </c>
      <c r="T45" t="e">
        <f>K45-O45</f>
        <v>#VALUE!</v>
      </c>
      <c r="U45">
        <f>J45-P45</f>
        <v>3.762820685068391E-3</v>
      </c>
      <c r="V45">
        <f>L45-R45</f>
        <v>-4.4303303430304197E-6</v>
      </c>
      <c r="W45">
        <f t="shared" si="0"/>
        <v>9.8613765959187916E-4</v>
      </c>
    </row>
    <row r="46" spans="1:23" x14ac:dyDescent="0.25">
      <c r="A46" t="s">
        <v>15</v>
      </c>
      <c r="B46">
        <v>2</v>
      </c>
      <c r="C46">
        <v>-2</v>
      </c>
      <c r="D46">
        <v>2</v>
      </c>
      <c r="E46">
        <v>10</v>
      </c>
      <c r="F46">
        <v>9.56079740189322</v>
      </c>
      <c r="G46">
        <v>0.29723977563069598</v>
      </c>
      <c r="H46">
        <v>0.01</v>
      </c>
      <c r="I46">
        <v>0.59328967214151496</v>
      </c>
      <c r="J46">
        <v>76.037913302378271</v>
      </c>
      <c r="K46" t="s">
        <v>14</v>
      </c>
      <c r="L46">
        <v>1.0288571664266279</v>
      </c>
      <c r="M46">
        <v>3.747299650447725</v>
      </c>
      <c r="O46" t="s">
        <v>20</v>
      </c>
      <c r="P46">
        <v>76.033980060003401</v>
      </c>
      <c r="Q46">
        <v>3.7463152409973199</v>
      </c>
      <c r="R46">
        <v>1.0288604694852099</v>
      </c>
      <c r="T46" t="e">
        <f>K46-O46</f>
        <v>#VALUE!</v>
      </c>
      <c r="U46">
        <f>J46-P46</f>
        <v>3.9332423748703604E-3</v>
      </c>
      <c r="V46">
        <f>L46-R46</f>
        <v>-3.3030585819826541E-6</v>
      </c>
      <c r="W46">
        <f t="shared" si="0"/>
        <v>9.8440945040501049E-4</v>
      </c>
    </row>
    <row r="47" spans="1:23" x14ac:dyDescent="0.25">
      <c r="A47" t="s">
        <v>15</v>
      </c>
      <c r="B47">
        <v>3</v>
      </c>
      <c r="C47">
        <v>-10</v>
      </c>
      <c r="D47">
        <v>10</v>
      </c>
      <c r="E47">
        <v>9.9654014068315995</v>
      </c>
      <c r="F47">
        <v>9.8055081450228698</v>
      </c>
      <c r="G47">
        <v>0.71229886527207997</v>
      </c>
      <c r="H47">
        <v>1.0000032890556889E-2</v>
      </c>
      <c r="I47">
        <v>0.804966067663623</v>
      </c>
      <c r="J47">
        <v>33.744778156840709</v>
      </c>
      <c r="K47">
        <v>27.148035139614269</v>
      </c>
      <c r="L47">
        <v>2.0157907678379501</v>
      </c>
      <c r="M47">
        <v>2.5493464732506772</v>
      </c>
      <c r="O47">
        <v>27.157088119529799</v>
      </c>
      <c r="P47">
        <v>33.738281322449701</v>
      </c>
      <c r="Q47">
        <v>2.5489455334520201</v>
      </c>
      <c r="R47">
        <v>2.0175346895666801</v>
      </c>
      <c r="T47">
        <f>K47-O47</f>
        <v>-9.0529799155305568E-3</v>
      </c>
      <c r="U47">
        <f>J47-P47</f>
        <v>6.4968343910081217E-3</v>
      </c>
      <c r="V47">
        <f>L47-R47</f>
        <v>-1.7439217287300579E-3</v>
      </c>
      <c r="W47">
        <f t="shared" si="0"/>
        <v>4.0093979865707396E-4</v>
      </c>
    </row>
    <row r="48" spans="1:23" x14ac:dyDescent="0.25">
      <c r="A48" t="s">
        <v>15</v>
      </c>
      <c r="B48">
        <v>3</v>
      </c>
      <c r="C48">
        <v>-5</v>
      </c>
      <c r="D48">
        <v>5</v>
      </c>
      <c r="E48">
        <v>8.2863589788154997</v>
      </c>
      <c r="F48">
        <v>9.8214530089766505</v>
      </c>
      <c r="G48">
        <v>0.71538698050555005</v>
      </c>
      <c r="H48">
        <v>1.0000032890556889E-2</v>
      </c>
      <c r="I48">
        <v>1.0062121293110999</v>
      </c>
      <c r="J48">
        <v>37.500558806555432</v>
      </c>
      <c r="K48">
        <v>28.745964305417449</v>
      </c>
      <c r="L48">
        <v>1.8715822296279889</v>
      </c>
      <c r="M48">
        <v>2.3029010555454228</v>
      </c>
      <c r="O48">
        <v>28.754803538356398</v>
      </c>
      <c r="P48">
        <v>37.491263737994601</v>
      </c>
      <c r="Q48">
        <v>2.3024447227148102</v>
      </c>
      <c r="R48">
        <v>1.8723355117888201</v>
      </c>
      <c r="T48">
        <f>K48-O48</f>
        <v>-8.839232938949948E-3</v>
      </c>
      <c r="U48">
        <f>J48-P48</f>
        <v>9.2950685608315098E-3</v>
      </c>
      <c r="V48">
        <f>L48-R48</f>
        <v>-7.5328216083114796E-4</v>
      </c>
      <c r="W48">
        <f t="shared" si="0"/>
        <v>4.5633283061263796E-4</v>
      </c>
    </row>
    <row r="49" spans="1:23" x14ac:dyDescent="0.25">
      <c r="A49" t="s">
        <v>15</v>
      </c>
      <c r="B49">
        <v>3</v>
      </c>
      <c r="C49">
        <v>-3</v>
      </c>
      <c r="D49">
        <v>3</v>
      </c>
      <c r="E49">
        <v>6.8540256401536697</v>
      </c>
      <c r="F49">
        <v>9.8586238068602103</v>
      </c>
      <c r="G49">
        <v>0.70635591944236997</v>
      </c>
      <c r="H49">
        <v>1.0000032890556889E-2</v>
      </c>
      <c r="I49">
        <v>1.3438929252609799</v>
      </c>
      <c r="J49">
        <v>41.572317397011318</v>
      </c>
      <c r="K49">
        <v>30.407770576731</v>
      </c>
      <c r="L49">
        <v>1.74847230748877</v>
      </c>
      <c r="M49">
        <v>2.0535094916732648</v>
      </c>
      <c r="O49">
        <v>30.4169110007577</v>
      </c>
      <c r="P49">
        <v>41.569640407993496</v>
      </c>
      <c r="Q49">
        <v>2.0534047667654498</v>
      </c>
      <c r="R49">
        <v>1.74867776453277</v>
      </c>
      <c r="T49">
        <f>K49-O49</f>
        <v>-9.1404240267003445E-3</v>
      </c>
      <c r="U49">
        <f>J49-P49</f>
        <v>2.6769890178215405E-3</v>
      </c>
      <c r="V49">
        <f>L49-R49</f>
        <v>-2.0545704399999032E-4</v>
      </c>
      <c r="W49">
        <f t="shared" si="0"/>
        <v>1.0472490781499033E-4</v>
      </c>
    </row>
    <row r="50" spans="1:23" x14ac:dyDescent="0.25">
      <c r="A50" t="s">
        <v>15</v>
      </c>
      <c r="B50">
        <v>3</v>
      </c>
      <c r="C50">
        <v>-2</v>
      </c>
      <c r="D50">
        <v>2</v>
      </c>
      <c r="E50">
        <v>5.7203888156084801</v>
      </c>
      <c r="F50">
        <v>9.9478179798564899</v>
      </c>
      <c r="G50">
        <v>0.69420144617830404</v>
      </c>
      <c r="H50">
        <v>1.0000032890556889E-2</v>
      </c>
      <c r="I50">
        <v>1.8650627083062501</v>
      </c>
      <c r="J50">
        <v>45.820904882444978</v>
      </c>
      <c r="K50">
        <v>31.994635215229831</v>
      </c>
      <c r="L50">
        <v>1.645985338222461</v>
      </c>
      <c r="M50">
        <v>1.832442929618697</v>
      </c>
      <c r="O50">
        <v>32.002532611545902</v>
      </c>
      <c r="P50">
        <v>45.810254376080998</v>
      </c>
      <c r="Q50">
        <v>1.83214791504109</v>
      </c>
      <c r="R50">
        <v>1.64765815247592</v>
      </c>
      <c r="T50">
        <f>K50-O50</f>
        <v>-7.8973963160713367E-3</v>
      </c>
      <c r="U50">
        <f>J50-P50</f>
        <v>1.0650506363980128E-2</v>
      </c>
      <c r="V50">
        <f>L50-R50</f>
        <v>-1.6728142534589985E-3</v>
      </c>
      <c r="W50">
        <f t="shared" si="0"/>
        <v>2.9501457760705563E-4</v>
      </c>
    </row>
    <row r="51" spans="1:23" x14ac:dyDescent="0.25">
      <c r="A51" t="s">
        <v>15</v>
      </c>
      <c r="B51">
        <v>4</v>
      </c>
      <c r="C51">
        <v>-10</v>
      </c>
      <c r="D51">
        <v>10</v>
      </c>
      <c r="E51">
        <v>2.24378148402453</v>
      </c>
      <c r="F51">
        <v>5.3006034470239296</v>
      </c>
      <c r="G51">
        <v>1.1532169082485</v>
      </c>
      <c r="H51">
        <v>1.000219166149563E-2</v>
      </c>
      <c r="I51">
        <v>4.2129653443995503</v>
      </c>
      <c r="J51">
        <v>58.527103417864041</v>
      </c>
      <c r="K51">
        <v>10.72009233475521</v>
      </c>
      <c r="L51">
        <v>1.7966770400516221</v>
      </c>
      <c r="M51">
        <v>0.81330582750474578</v>
      </c>
      <c r="O51">
        <v>10.724411890353901</v>
      </c>
      <c r="P51">
        <v>58.530491504951399</v>
      </c>
      <c r="Q51">
        <v>0.81325711367108899</v>
      </c>
      <c r="R51">
        <v>1.7997402799403901</v>
      </c>
      <c r="T51">
        <f>K51-O51</f>
        <v>-4.3195555986912382E-3</v>
      </c>
      <c r="U51">
        <f>J51-P51</f>
        <v>-3.3880870873588265E-3</v>
      </c>
      <c r="V51">
        <f>L51-R51</f>
        <v>-3.063239888767999E-3</v>
      </c>
      <c r="W51">
        <f t="shared" si="0"/>
        <v>4.8713833656788275E-5</v>
      </c>
    </row>
    <row r="52" spans="1:23" x14ac:dyDescent="0.25">
      <c r="A52" t="s">
        <v>15</v>
      </c>
      <c r="B52">
        <v>4</v>
      </c>
      <c r="C52">
        <v>-5</v>
      </c>
      <c r="D52">
        <v>5</v>
      </c>
      <c r="E52">
        <v>2.2714519236097699</v>
      </c>
      <c r="F52">
        <v>5.51935642913761</v>
      </c>
      <c r="G52">
        <v>1.1653828129892401</v>
      </c>
      <c r="H52">
        <v>1.000219166149563E-2</v>
      </c>
      <c r="I52">
        <v>4.3951716448785998</v>
      </c>
      <c r="J52">
        <v>57.849671466819707</v>
      </c>
      <c r="K52">
        <v>10.602536514202431</v>
      </c>
      <c r="L52">
        <v>1.813471348728253</v>
      </c>
      <c r="M52">
        <v>0.82996385720946197</v>
      </c>
      <c r="O52">
        <v>10.605539896700201</v>
      </c>
      <c r="P52">
        <v>57.841507743851302</v>
      </c>
      <c r="Q52">
        <v>0.82997790989433895</v>
      </c>
      <c r="R52">
        <v>1.81459530536096</v>
      </c>
      <c r="T52">
        <f>K52-O52</f>
        <v>-3.0033824977699908E-3</v>
      </c>
      <c r="U52">
        <f>J52-P52</f>
        <v>8.1637229684048407E-3</v>
      </c>
      <c r="V52">
        <f>L52-R52</f>
        <v>-1.1239566327070349E-3</v>
      </c>
      <c r="W52">
        <f t="shared" si="0"/>
        <v>-1.4052684876975086E-5</v>
      </c>
    </row>
    <row r="53" spans="1:23" x14ac:dyDescent="0.25">
      <c r="A53" t="s">
        <v>15</v>
      </c>
      <c r="B53">
        <v>4</v>
      </c>
      <c r="C53">
        <v>-3</v>
      </c>
      <c r="D53">
        <v>3</v>
      </c>
      <c r="E53">
        <v>2.3040036519432299</v>
      </c>
      <c r="F53">
        <v>5.66275235588855</v>
      </c>
      <c r="G53">
        <v>1.1758577109277399</v>
      </c>
      <c r="H53">
        <v>1.000219166149563E-2</v>
      </c>
      <c r="I53">
        <v>4.4935715744873796</v>
      </c>
      <c r="J53">
        <v>56.966811798965423</v>
      </c>
      <c r="K53">
        <v>10.46900807548398</v>
      </c>
      <c r="L53">
        <v>1.832003824074506</v>
      </c>
      <c r="M53">
        <v>0.8465272542575577</v>
      </c>
      <c r="O53">
        <v>10.4706716031854</v>
      </c>
      <c r="P53">
        <v>56.965219379508</v>
      </c>
      <c r="Q53">
        <v>0.84651233731515196</v>
      </c>
      <c r="R53">
        <v>1.83215851072586</v>
      </c>
      <c r="T53">
        <f>K53-O53</f>
        <v>-1.6635277014191985E-3</v>
      </c>
      <c r="U53">
        <f>J53-P53</f>
        <v>1.5924194574239436E-3</v>
      </c>
      <c r="V53">
        <f>L53-R53</f>
        <v>-1.5468665135398574E-4</v>
      </c>
      <c r="W53">
        <f t="shared" si="0"/>
        <v>1.4916942405740485E-5</v>
      </c>
    </row>
    <row r="54" spans="1:23" x14ac:dyDescent="0.25">
      <c r="A54" t="s">
        <v>15</v>
      </c>
      <c r="B54">
        <v>4</v>
      </c>
      <c r="C54">
        <v>-2</v>
      </c>
      <c r="D54">
        <v>2</v>
      </c>
      <c r="E54">
        <v>1.9141764468840201</v>
      </c>
      <c r="F54">
        <v>5.0469723397912203</v>
      </c>
      <c r="G54">
        <v>1.1118171071037299</v>
      </c>
      <c r="H54">
        <v>1.000219166149563E-2</v>
      </c>
      <c r="I54">
        <v>4.7094791191536398</v>
      </c>
      <c r="J54">
        <v>68.543917356672139</v>
      </c>
      <c r="K54">
        <v>12.128443037081681</v>
      </c>
      <c r="L54">
        <v>1.6407823705456861</v>
      </c>
      <c r="M54">
        <v>0.67293486742953068</v>
      </c>
      <c r="O54">
        <v>12.1343711454348</v>
      </c>
      <c r="P54">
        <v>68.546612956549097</v>
      </c>
      <c r="Q54">
        <v>0.67290505344940599</v>
      </c>
      <c r="R54">
        <v>1.64302045518508</v>
      </c>
      <c r="T54">
        <f>K54-O54</f>
        <v>-5.9281083531192991E-3</v>
      </c>
      <c r="U54">
        <f>J54-P54</f>
        <v>-2.6955998769579992E-3</v>
      </c>
      <c r="V54">
        <f>L54-R54</f>
        <v>-2.2380846393939002E-3</v>
      </c>
      <c r="W54">
        <f t="shared" si="0"/>
        <v>2.9813980124693273E-5</v>
      </c>
    </row>
    <row r="55" spans="1:23" x14ac:dyDescent="0.25">
      <c r="A55" t="s">
        <v>15</v>
      </c>
      <c r="B55">
        <v>5</v>
      </c>
      <c r="C55">
        <v>-10</v>
      </c>
      <c r="D55">
        <v>10</v>
      </c>
      <c r="E55">
        <v>1.4048109084261</v>
      </c>
      <c r="F55">
        <v>4.98269963934474</v>
      </c>
      <c r="G55">
        <v>1.4252557958506</v>
      </c>
      <c r="H55">
        <v>1.000953753752501E-2</v>
      </c>
      <c r="I55">
        <v>9.0995914438217707</v>
      </c>
      <c r="J55">
        <v>76.447686712375372</v>
      </c>
      <c r="K55">
        <v>8.8289575240579037</v>
      </c>
      <c r="L55">
        <v>1.772564278320107</v>
      </c>
      <c r="M55">
        <v>0.38310699221219302</v>
      </c>
      <c r="O55">
        <v>8.8323711115688202</v>
      </c>
      <c r="P55">
        <v>76.463443352143599</v>
      </c>
      <c r="Q55">
        <v>0.38302163212447798</v>
      </c>
      <c r="R55">
        <v>1.77410774900271</v>
      </c>
      <c r="T55">
        <f>K55-O55</f>
        <v>-3.4135875109164715E-3</v>
      </c>
      <c r="U55">
        <f>J55-P55</f>
        <v>-1.5756639768227387E-2</v>
      </c>
      <c r="V55">
        <f>L55-R55</f>
        <v>-1.5434706826029654E-3</v>
      </c>
      <c r="W55">
        <f t="shared" si="0"/>
        <v>8.5360087715036226E-5</v>
      </c>
    </row>
    <row r="56" spans="1:23" x14ac:dyDescent="0.25">
      <c r="A56" t="s">
        <v>15</v>
      </c>
      <c r="B56">
        <v>5</v>
      </c>
      <c r="C56">
        <v>-5</v>
      </c>
      <c r="D56">
        <v>5</v>
      </c>
      <c r="E56">
        <v>1.42049436599645</v>
      </c>
      <c r="F56">
        <v>5.1501044401101801</v>
      </c>
      <c r="G56">
        <v>1.4479149355905601</v>
      </c>
      <c r="H56">
        <v>1.000953753752501E-2</v>
      </c>
      <c r="I56">
        <v>9.4952496649515297</v>
      </c>
      <c r="J56">
        <v>77.181965353514371</v>
      </c>
      <c r="K56">
        <v>8.6981204262994734</v>
      </c>
      <c r="L56">
        <v>1.787967090332677</v>
      </c>
      <c r="M56">
        <v>0.39102813668605829</v>
      </c>
      <c r="O56">
        <v>8.7010081312862795</v>
      </c>
      <c r="P56">
        <v>77.193567641039195</v>
      </c>
      <c r="Q56">
        <v>0.39097118291403499</v>
      </c>
      <c r="R56">
        <v>1.7915034598559501</v>
      </c>
      <c r="T56">
        <f>K56-O56</f>
        <v>-2.8877049868061277E-3</v>
      </c>
      <c r="U56">
        <f>J56-P56</f>
        <v>-1.1602287524823396E-2</v>
      </c>
      <c r="V56">
        <f>L56-R56</f>
        <v>-3.5363695232730752E-3</v>
      </c>
      <c r="W56">
        <f t="shared" si="0"/>
        <v>5.6953772023304872E-5</v>
      </c>
    </row>
    <row r="57" spans="1:23" x14ac:dyDescent="0.25">
      <c r="A57" t="s">
        <v>15</v>
      </c>
      <c r="B57">
        <v>5</v>
      </c>
      <c r="C57">
        <v>-3</v>
      </c>
      <c r="D57">
        <v>3</v>
      </c>
      <c r="E57">
        <v>1.42202141153204</v>
      </c>
      <c r="F57">
        <v>5.2287260417778301</v>
      </c>
      <c r="G57">
        <v>1.45813563590267</v>
      </c>
      <c r="H57">
        <v>1.000953753752501E-2</v>
      </c>
      <c r="I57">
        <v>9.7003630222173491</v>
      </c>
      <c r="J57">
        <v>77.704490035264385</v>
      </c>
      <c r="K57">
        <v>8.6725546136650333</v>
      </c>
      <c r="L57">
        <v>1.7922829197470029</v>
      </c>
      <c r="M57">
        <v>0.39236867109004742</v>
      </c>
      <c r="O57">
        <v>8.6750824283276593</v>
      </c>
      <c r="P57">
        <v>77.7196121588739</v>
      </c>
      <c r="Q57">
        <v>0.39229520984404598</v>
      </c>
      <c r="R57">
        <v>1.79469595288914</v>
      </c>
      <c r="T57">
        <f>K57-O57</f>
        <v>-2.5278146626259712E-3</v>
      </c>
      <c r="U57">
        <f>J57-P57</f>
        <v>-1.512212360951537E-2</v>
      </c>
      <c r="V57">
        <f>L57-R57</f>
        <v>-2.4130331421370332E-3</v>
      </c>
      <c r="W57">
        <f t="shared" si="0"/>
        <v>7.346124600143833E-5</v>
      </c>
    </row>
    <row r="58" spans="1:23" x14ac:dyDescent="0.25">
      <c r="A58" t="s">
        <v>15</v>
      </c>
      <c r="B58">
        <v>5</v>
      </c>
      <c r="C58">
        <v>-2</v>
      </c>
      <c r="D58">
        <v>2</v>
      </c>
      <c r="E58">
        <v>1.42656051809038</v>
      </c>
      <c r="F58">
        <v>5.2741020018329801</v>
      </c>
      <c r="G58">
        <v>1.46068019588464</v>
      </c>
      <c r="H58">
        <v>1.000953753752501E-2</v>
      </c>
      <c r="I58">
        <v>9.8260517694073304</v>
      </c>
      <c r="J58">
        <v>77.75381413366604</v>
      </c>
      <c r="K58">
        <v>8.6397565264255238</v>
      </c>
      <c r="L58">
        <v>1.79736636295789</v>
      </c>
      <c r="M58">
        <v>0.39490133686512191</v>
      </c>
      <c r="O58">
        <v>8.6421595924741794</v>
      </c>
      <c r="P58">
        <v>77.772494317101305</v>
      </c>
      <c r="Q58">
        <v>0.394814389852925</v>
      </c>
      <c r="R58">
        <v>1.7994135989231299</v>
      </c>
      <c r="T58">
        <f>K58-O58</f>
        <v>-2.4030660486555888E-3</v>
      </c>
      <c r="U58">
        <f>J58-P58</f>
        <v>-1.8680183435265008E-2</v>
      </c>
      <c r="V58">
        <f>L58-R58</f>
        <v>-2.0472359652399241E-3</v>
      </c>
      <c r="W58">
        <f t="shared" si="0"/>
        <v>8.6947012196914031E-5</v>
      </c>
    </row>
    <row r="59" spans="1:23" x14ac:dyDescent="0.25">
      <c r="A59" t="s">
        <v>15</v>
      </c>
      <c r="B59">
        <v>6</v>
      </c>
      <c r="C59">
        <v>-10</v>
      </c>
      <c r="D59">
        <v>10</v>
      </c>
      <c r="E59">
        <v>1.0402192763078999</v>
      </c>
      <c r="F59">
        <v>4.9421370174902401</v>
      </c>
      <c r="G59">
        <v>1.6188015918738199</v>
      </c>
      <c r="H59">
        <v>1.002948897160582E-2</v>
      </c>
      <c r="I59">
        <v>15.4099635909299</v>
      </c>
      <c r="J59">
        <v>75.389135543584857</v>
      </c>
      <c r="K59">
        <v>8.6676362706462413</v>
      </c>
      <c r="L59">
        <v>1.699784959460096</v>
      </c>
      <c r="M59">
        <v>0.23008251759564591</v>
      </c>
      <c r="O59">
        <v>8.6691625154116601</v>
      </c>
      <c r="P59">
        <v>75.398394048925994</v>
      </c>
      <c r="Q59">
        <v>0.23000690916252201</v>
      </c>
      <c r="R59">
        <v>1.7006767003999199</v>
      </c>
      <c r="T59">
        <f>K59-O59</f>
        <v>-1.5262447654187383E-3</v>
      </c>
      <c r="U59">
        <f>J59-P59</f>
        <v>-9.2585053411369245E-3</v>
      </c>
      <c r="V59">
        <f>L59-R59</f>
        <v>-8.9174093982391511E-4</v>
      </c>
      <c r="W59">
        <f t="shared" si="0"/>
        <v>7.5608433123902641E-5</v>
      </c>
    </row>
    <row r="60" spans="1:23" x14ac:dyDescent="0.25">
      <c r="A60" t="s">
        <v>15</v>
      </c>
      <c r="B60">
        <v>6</v>
      </c>
      <c r="C60">
        <v>-5</v>
      </c>
      <c r="D60">
        <v>5</v>
      </c>
      <c r="E60">
        <v>1.03901518704408</v>
      </c>
      <c r="F60">
        <v>5.0584309313238398</v>
      </c>
      <c r="G60">
        <v>1.64104601378253</v>
      </c>
      <c r="H60">
        <v>1.002948897160582E-2</v>
      </c>
      <c r="I60">
        <v>16.069345158962999</v>
      </c>
      <c r="J60">
        <v>76.801049440984968</v>
      </c>
      <c r="K60">
        <v>8.647247785724705</v>
      </c>
      <c r="L60">
        <v>1.6993457302994179</v>
      </c>
      <c r="M60">
        <v>0.2268372335156337</v>
      </c>
      <c r="O60">
        <v>8.6483874173641002</v>
      </c>
      <c r="P60">
        <v>76.8116861763353</v>
      </c>
      <c r="Q60">
        <v>0.22675114680054001</v>
      </c>
      <c r="R60">
        <v>1.7018645352745601</v>
      </c>
      <c r="T60">
        <f>K60-O60</f>
        <v>-1.1396316393952333E-3</v>
      </c>
      <c r="U60">
        <f>J60-P60</f>
        <v>-1.0636735350331605E-2</v>
      </c>
      <c r="V60">
        <f>L60-R60</f>
        <v>-2.5188049751421193E-3</v>
      </c>
      <c r="W60">
        <f t="shared" si="0"/>
        <v>8.6086715093691701E-5</v>
      </c>
    </row>
    <row r="61" spans="1:23" x14ac:dyDescent="0.25">
      <c r="A61" t="s">
        <v>15</v>
      </c>
      <c r="B61">
        <v>6</v>
      </c>
      <c r="C61">
        <v>-3</v>
      </c>
      <c r="D61">
        <v>3</v>
      </c>
      <c r="E61">
        <v>1.0420461439136699</v>
      </c>
      <c r="F61">
        <v>5.1214197351197104</v>
      </c>
      <c r="G61">
        <v>1.64316354722427</v>
      </c>
      <c r="H61">
        <v>1.002948897160582E-2</v>
      </c>
      <c r="I61">
        <v>16.403879681171301</v>
      </c>
      <c r="J61">
        <v>77.350459358377819</v>
      </c>
      <c r="K61">
        <v>8.6154359458927452</v>
      </c>
      <c r="L61">
        <v>1.7027535721960849</v>
      </c>
      <c r="M61">
        <v>0.226388545033299</v>
      </c>
      <c r="O61">
        <v>8.6164818275536508</v>
      </c>
      <c r="P61">
        <v>77.360824876081594</v>
      </c>
      <c r="Q61">
        <v>0.22630602367990099</v>
      </c>
      <c r="R61">
        <v>1.7057671352095101</v>
      </c>
      <c r="T61">
        <f>K61-O61</f>
        <v>-1.0458816609055788E-3</v>
      </c>
      <c r="U61">
        <f>J61-P61</f>
        <v>-1.036551770377514E-2</v>
      </c>
      <c r="V61">
        <f>L61-R61</f>
        <v>-3.0135630134251468E-3</v>
      </c>
      <c r="W61">
        <f t="shared" si="0"/>
        <v>8.2521353398007369E-5</v>
      </c>
    </row>
    <row r="62" spans="1:23" x14ac:dyDescent="0.25">
      <c r="A62" t="s">
        <v>15</v>
      </c>
      <c r="B62">
        <v>6</v>
      </c>
      <c r="C62">
        <v>-2</v>
      </c>
      <c r="D62">
        <v>2</v>
      </c>
      <c r="E62">
        <v>1.03945799283177</v>
      </c>
      <c r="F62">
        <v>5.1434342064424898</v>
      </c>
      <c r="G62">
        <v>1.6532360059141999</v>
      </c>
      <c r="H62">
        <v>1.002948897160582E-2</v>
      </c>
      <c r="I62">
        <v>16.603264930804301</v>
      </c>
      <c r="J62">
        <v>77.733587960683849</v>
      </c>
      <c r="K62">
        <v>8.6245586944274457</v>
      </c>
      <c r="L62">
        <v>1.701719473899111</v>
      </c>
      <c r="M62">
        <v>0.2249610454927162</v>
      </c>
      <c r="O62">
        <v>8.6254044598208797</v>
      </c>
      <c r="P62">
        <v>77.741163877168702</v>
      </c>
      <c r="Q62">
        <v>0.22490040045881701</v>
      </c>
      <c r="R62">
        <v>1.70406690405371</v>
      </c>
      <c r="T62">
        <f>K62-O62</f>
        <v>-8.4576539343395041E-4</v>
      </c>
      <c r="U62">
        <f>J62-P62</f>
        <v>-7.575916484853451E-3</v>
      </c>
      <c r="V62">
        <f>L62-R62</f>
        <v>-2.3474301545989285E-3</v>
      </c>
      <c r="W62">
        <f t="shared" si="0"/>
        <v>6.0645033899187073E-5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Büchi Florin (buechfl2)</cp:lastModifiedBy>
  <dcterms:created xsi:type="dcterms:W3CDTF">2026-02-26T00:03:06Z</dcterms:created>
  <dcterms:modified xsi:type="dcterms:W3CDTF">2026-02-26T09:16:37Z</dcterms:modified>
</cp:coreProperties>
</file>