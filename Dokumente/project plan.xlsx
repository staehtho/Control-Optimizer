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77B4D796-3E6D-4A97-A75F-6F9CEE4BB5EB}"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P5" i="11" l="1"/>
  <c r="DQ4" i="11"/>
  <c r="DR4" i="11" s="1"/>
  <c r="DP4" i="11"/>
  <c r="DP3" i="11" s="1"/>
  <c r="DI4" i="11"/>
  <c r="DI3" i="11" s="1"/>
  <c r="DB4" i="11"/>
  <c r="DB3" i="11" s="1"/>
  <c r="G42" i="11"/>
  <c r="G41" i="11"/>
  <c r="G40" i="11"/>
  <c r="G39" i="11"/>
  <c r="G37" i="11"/>
  <c r="G36" i="11"/>
  <c r="G35" i="11"/>
  <c r="G34" i="11"/>
  <c r="G33" i="11"/>
  <c r="G30" i="11"/>
  <c r="G29" i="11"/>
  <c r="G28" i="11"/>
  <c r="G27" i="11"/>
  <c r="G45" i="11"/>
  <c r="G44" i="11"/>
  <c r="G49" i="11"/>
  <c r="G50" i="11"/>
  <c r="G51" i="11"/>
  <c r="G25" i="11"/>
  <c r="G24" i="11"/>
  <c r="G13" i="11"/>
  <c r="G12" i="11"/>
  <c r="G31" i="11"/>
  <c r="DS4" i="11" l="1"/>
  <c r="DR5" i="11"/>
  <c r="DQ5" i="11"/>
  <c r="DJ4" i="11"/>
  <c r="DI5" i="11"/>
  <c r="DC4" i="11"/>
  <c r="DB5" i="11"/>
  <c r="G11" i="11"/>
  <c r="G15" i="11"/>
  <c r="G16" i="11"/>
  <c r="G19" i="11"/>
  <c r="G20" i="11"/>
  <c r="G22" i="11"/>
  <c r="G23" i="11"/>
  <c r="G32" i="11"/>
  <c r="G52" i="11"/>
  <c r="G8" i="11"/>
  <c r="G9" i="11"/>
  <c r="G10" i="11"/>
  <c r="G6" i="11"/>
  <c r="DS5" i="11" l="1"/>
  <c r="DT4" i="11"/>
  <c r="DJ5" i="11"/>
  <c r="DK4" i="11"/>
  <c r="DD4" i="11"/>
  <c r="DC5" i="11"/>
  <c r="H4" i="11"/>
  <c r="H5" i="11" s="1"/>
  <c r="G54" i="11"/>
  <c r="G53" i="11"/>
  <c r="G7" i="11"/>
  <c r="DT5" i="11" l="1"/>
  <c r="DU4" i="11"/>
  <c r="DK5" i="11"/>
  <c r="DL4" i="11"/>
  <c r="DE4" i="11"/>
  <c r="DD5" i="11"/>
  <c r="I4" i="11"/>
  <c r="I5" i="11" s="1"/>
  <c r="H3" i="11"/>
  <c r="DU5" i="11" l="1"/>
  <c r="DV4" i="11"/>
  <c r="DV5" i="11" s="1"/>
  <c r="DL5" i="11"/>
  <c r="DM4" i="11"/>
  <c r="DE5" i="11"/>
  <c r="DF4" i="11"/>
  <c r="J4" i="11"/>
  <c r="J5" i="11" s="1"/>
  <c r="DM5" i="11" l="1"/>
  <c r="DN4" i="11"/>
  <c r="DF5" i="11"/>
  <c r="DG4" i="11"/>
  <c r="K4" i="11"/>
  <c r="K5" i="11" s="1"/>
  <c r="DO4" i="11" l="1"/>
  <c r="DO5" i="11" s="1"/>
  <c r="DN5" i="11"/>
  <c r="DH4" i="11"/>
  <c r="DH5" i="11" s="1"/>
  <c r="DG5" i="11"/>
  <c r="L4" i="1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<sst xmlns="http://schemas.openxmlformats.org/spreadsheetml/2006/main" count="90" uniqueCount="46">
  <si>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</si>
  <si>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</si>
  <si>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</si>
  <si>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</si>
  <si>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</si>
  <si>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</si>
  <si>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</si>
  <si>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</si>
  <si>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</si>
  <si>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</si>
  <si>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</si>
  <si>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</si>
  <si>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</si>
  <si>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</si>
  <si>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</si>
  <si>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</si>
  <si>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</si>
  <si>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</si>
  <si>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Büchi Florin, Stähli Thomas</t>
  </si>
  <si>
    <t>Phase 1 Einarbeitung, Recherche</t>
  </si>
  <si>
    <t>Bericht schreiben</t>
  </si>
  <si>
    <t xml:space="preserve">Abgabe </t>
  </si>
  <si>
    <t>Projektstart</t>
  </si>
  <si>
    <t>Wochenanzeige</t>
  </si>
  <si>
    <t>Dokumentation Umfang Funktionalität Software</t>
  </si>
  <si>
    <t>SOLL</t>
  </si>
  <si>
    <t>IST</t>
  </si>
  <si>
    <t>Phase 6 Bericht schreiben</t>
  </si>
  <si>
    <t>PID-Parameter für Voice-Coil finden</t>
  </si>
  <si>
    <t>Parameter an echtem System testen</t>
  </si>
  <si>
    <t>BA: Control-Optimizer</t>
  </si>
  <si>
    <t>Phase 5 Voice-Coil</t>
  </si>
  <si>
    <t>Einarbeitung App-Entwicklung</t>
  </si>
  <si>
    <t>Auswertung Amplituden-, Phasen-, Stabilitätsreserve</t>
  </si>
  <si>
    <t>Generierung dynamische Bodeplots (L, T, S)</t>
  </si>
  <si>
    <t>Anti-Windup: Back-Calculation</t>
  </si>
  <si>
    <t>Optimierung nach Überschwingen</t>
  </si>
  <si>
    <t>Optimierung nach Reserven (Frequenzbereich)</t>
  </si>
  <si>
    <t>Filterzeitkonstante mitsimulieren</t>
  </si>
  <si>
    <t>Phase 3a Optimierung anpassen</t>
  </si>
  <si>
    <t>Phase 3b Simulationsumgebung an neue Funktionalität anpassen</t>
  </si>
  <si>
    <t>Phase 2a Erweiterung bestehende Applikation</t>
  </si>
  <si>
    <t>Phase 2b Entwicklung Simulationsumgebung mit bestehender Funktionalität</t>
  </si>
  <si>
    <t>Planung, Vorgehen</t>
  </si>
  <si>
    <t>Phase 4 Validierung</t>
  </si>
  <si>
    <t>Anhand Referenz-Systemen Unterschiede aufzeigen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</si>
</sst>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14" fontId="0" fillId="0" borderId="9" xfId="0" applyNumberFormat="1" applyBorder="1" applyAlignment="1">
      <alignment vertical="center"/>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174" fontId="8" fillId="0" borderId="3" xfId="9" applyNumberFormat="1">
      <alignment horizontal="center" vertical="center"/>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V56"/>
  <sheetViews>
    <sheetView showGridLines="0" tabSelected="1" showRuler="0" zoomScaleNormal="100" zoomScalePageLayoutView="70" workbookViewId="0">
      <pane ySplit="5" topLeftCell="A17" activePane="bottomLeft" state="frozen"/>
      <selection pane="bottomLeft" activeCell="W27" sqref="W27"/>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26" width="2.7109375" customWidth="1"/>
  </cols>
  <sheetData>
    <row r="1" spans="1:126" ht="30" customHeight="1" x14ac:dyDescent="0.45">
      <c r="A1" s="18" t="s">
        <v>0</v>
      </c>
      <c r="B1" s="60" t="s">
        <v>30</v>
      </c>
      <c r="C1" s="1"/>
      <c r="D1" s="3"/>
      <c r="E1" s="16"/>
      <c r="G1" s="1"/>
      <c r="H1" s="23"/>
    </row>
    <row r="2" spans="1:126" ht="30" customHeight="1" x14ac:dyDescent="0.3">
      <c r="A2" s="17" t="s">
        <v>1</v>
      </c>
      <c r="B2" s="20"/>
      <c r="C2" s="61" t="s">
        <v>22</v>
      </c>
      <c r="D2" s="77">
        <v>46062</v>
      </c>
      <c r="E2" s="77"/>
    </row>
    <row r="3" spans="1:126" ht="30" customHeight="1" x14ac:dyDescent="0.25">
      <c r="A3" s="18" t="s">
        <v>2</v>
      </c>
      <c r="B3" s="59" t="s">
        <v>18</v>
      </c>
      <c r="C3" s="61" t="s">
        <v>23</v>
      </c>
      <c r="D3" s="6">
        <v>1</v>
      </c>
      <c r="H3" s="63">
        <f>H4</f>
        <v>46062</v>
      </c>
      <c r="I3" s="64"/>
      <c r="J3" s="64"/>
      <c r="K3" s="64"/>
      <c r="L3" s="64"/>
      <c r="M3" s="64"/>
      <c r="N3" s="65"/>
      <c r="O3" s="63">
        <f>O4</f>
        <v>46069</v>
      </c>
      <c r="P3" s="64"/>
      <c r="Q3" s="64"/>
      <c r="R3" s="64"/>
      <c r="S3" s="64"/>
      <c r="T3" s="64"/>
      <c r="U3" s="65"/>
      <c r="V3" s="63">
        <f t="shared" ref="V3" si="0">V4</f>
        <v>46076</v>
      </c>
      <c r="W3" s="64"/>
      <c r="X3" s="64"/>
      <c r="Y3" s="64"/>
      <c r="Z3" s="64"/>
      <c r="AA3" s="64"/>
      <c r="AB3" s="65"/>
      <c r="AC3" s="63">
        <f t="shared" ref="AC3" si="1">AC4</f>
        <v>46083</v>
      </c>
      <c r="AD3" s="64"/>
      <c r="AE3" s="64"/>
      <c r="AF3" s="64"/>
      <c r="AG3" s="64"/>
      <c r="AH3" s="64"/>
      <c r="AI3" s="65"/>
      <c r="AJ3" s="63">
        <f t="shared" ref="AJ3" si="2">AJ4</f>
        <v>46090</v>
      </c>
      <c r="AK3" s="64"/>
      <c r="AL3" s="64"/>
      <c r="AM3" s="64"/>
      <c r="AN3" s="64"/>
      <c r="AO3" s="64"/>
      <c r="AP3" s="65"/>
      <c r="AQ3" s="63">
        <f t="shared" ref="AQ3" si="3">AQ4</f>
        <v>46097</v>
      </c>
      <c r="AR3" s="64"/>
      <c r="AS3" s="64"/>
      <c r="AT3" s="64"/>
      <c r="AU3" s="64"/>
      <c r="AV3" s="64"/>
      <c r="AW3" s="65"/>
      <c r="AX3" s="63">
        <f t="shared" ref="AX3" si="4">AX4</f>
        <v>46104</v>
      </c>
      <c r="AY3" s="64"/>
      <c r="AZ3" s="64"/>
      <c r="BA3" s="64"/>
      <c r="BB3" s="64"/>
      <c r="BC3" s="64"/>
      <c r="BD3" s="65"/>
      <c r="BE3" s="63">
        <f t="shared" ref="BE3" si="5">BE4</f>
        <v>46111</v>
      </c>
      <c r="BF3" s="64"/>
      <c r="BG3" s="64"/>
      <c r="BH3" s="64"/>
      <c r="BI3" s="64"/>
      <c r="BJ3" s="64"/>
      <c r="BK3" s="65"/>
      <c r="BL3" s="63">
        <f t="shared" ref="BL3" si="6">BL4</f>
        <v>46118</v>
      </c>
      <c r="BM3" s="64"/>
      <c r="BN3" s="64"/>
      <c r="BO3" s="64"/>
      <c r="BP3" s="64"/>
      <c r="BQ3" s="64"/>
      <c r="BR3" s="65"/>
      <c r="BS3" s="63">
        <f t="shared" ref="BS3" si="7">BS4</f>
        <v>46125</v>
      </c>
      <c r="BT3" s="64"/>
      <c r="BU3" s="64"/>
      <c r="BV3" s="64"/>
      <c r="BW3" s="64"/>
      <c r="BX3" s="64"/>
      <c r="BY3" s="65"/>
      <c r="BZ3" s="63">
        <f t="shared" ref="BZ3" si="8">BZ4</f>
        <v>46132</v>
      </c>
      <c r="CA3" s="64"/>
      <c r="CB3" s="64"/>
      <c r="CC3" s="64"/>
      <c r="CD3" s="64"/>
      <c r="CE3" s="64"/>
      <c r="CF3" s="65"/>
      <c r="CG3" s="63">
        <f t="shared" ref="CG3" si="9">CG4</f>
        <v>46139</v>
      </c>
      <c r="CH3" s="64"/>
      <c r="CI3" s="64"/>
      <c r="CJ3" s="64"/>
      <c r="CK3" s="64"/>
      <c r="CL3" s="64"/>
      <c r="CM3" s="65"/>
      <c r="CN3" s="63">
        <f t="shared" ref="CN3" si="10">CN4</f>
        <v>46146</v>
      </c>
      <c r="CO3" s="64"/>
      <c r="CP3" s="64"/>
      <c r="CQ3" s="64"/>
      <c r="CR3" s="64"/>
      <c r="CS3" s="64"/>
      <c r="CT3" s="65"/>
      <c r="CU3" s="63">
        <f t="shared" ref="CU3" si="11">CU4</f>
        <v>46153</v>
      </c>
      <c r="CV3" s="64"/>
      <c r="CW3" s="64"/>
      <c r="CX3" s="64"/>
      <c r="CY3" s="64"/>
      <c r="CZ3" s="64"/>
      <c r="DA3" s="65"/>
      <c r="DB3" s="63">
        <f t="shared" ref="DB3" si="12">DB4</f>
        <v>46160</v>
      </c>
      <c r="DC3" s="64"/>
      <c r="DD3" s="64"/>
      <c r="DE3" s="64"/>
      <c r="DF3" s="64"/>
      <c r="DG3" s="64"/>
      <c r="DH3" s="65"/>
      <c r="DI3" s="63">
        <f t="shared" ref="DI3" si="13">DI4</f>
        <v>46167</v>
      </c>
      <c r="DJ3" s="64"/>
      <c r="DK3" s="64"/>
      <c r="DL3" s="64"/>
      <c r="DM3" s="64"/>
      <c r="DN3" s="64"/>
      <c r="DO3" s="65"/>
      <c r="DP3" s="63">
        <f t="shared" ref="DP3" si="14">DP4</f>
        <v>46174</v>
      </c>
      <c r="DQ3" s="64"/>
      <c r="DR3" s="64"/>
      <c r="DS3" s="64"/>
      <c r="DT3" s="64"/>
      <c r="DU3" s="64"/>
      <c r="DV3" s="65"/>
    </row>
    <row r="4" spans="1:126" ht="15" customHeight="1" x14ac:dyDescent="0.25">
      <c r="A4" s="18" t="s">
        <v>3</v>
      </c>
      <c r="B4" s="22"/>
      <c r="C4" s="22"/>
      <c r="D4" s="22"/>
      <c r="E4" s="22"/>
      <c r="F4" s="22"/>
      <c r="H4" s="32">
        <f>Projektanfang-WEEKDAY(Projektanfang,1)+2+7*(Anzeigewoche-1)</f>
        <v>46062</v>
      </c>
      <c r="I4" s="32">
        <f>H4+1</f>
        <v>46063</v>
      </c>
      <c r="J4" s="32">
        <f t="shared" ref="J4:N4" si="15">I4+1</f>
        <v>46064</v>
      </c>
      <c r="K4" s="32">
        <f t="shared" si="15"/>
        <v>46065</v>
      </c>
      <c r="L4" s="32">
        <f t="shared" si="15"/>
        <v>46066</v>
      </c>
      <c r="M4" s="32">
        <f t="shared" si="15"/>
        <v>46067</v>
      </c>
      <c r="N4" s="32">
        <f t="shared" si="15"/>
        <v>46068</v>
      </c>
      <c r="O4" s="27">
        <f>N4+1</f>
        <v>46069</v>
      </c>
      <c r="P4" s="28">
        <f>O4+1</f>
        <v>46070</v>
      </c>
      <c r="Q4" s="28">
        <f t="shared" ref="Q4:AW4" si="16">P4+1</f>
        <v>46071</v>
      </c>
      <c r="R4" s="28">
        <f t="shared" si="16"/>
        <v>46072</v>
      </c>
      <c r="S4" s="28">
        <f t="shared" si="16"/>
        <v>46073</v>
      </c>
      <c r="T4" s="28">
        <f t="shared" si="16"/>
        <v>46074</v>
      </c>
      <c r="U4" s="29">
        <f t="shared" si="16"/>
        <v>46075</v>
      </c>
      <c r="V4" s="27">
        <f>U4+1</f>
        <v>46076</v>
      </c>
      <c r="W4" s="28">
        <f>V4+1</f>
        <v>46077</v>
      </c>
      <c r="X4" s="28">
        <f t="shared" si="16"/>
        <v>46078</v>
      </c>
      <c r="Y4" s="28">
        <f t="shared" si="16"/>
        <v>46079</v>
      </c>
      <c r="Z4" s="28">
        <f t="shared" si="16"/>
        <v>46080</v>
      </c>
      <c r="AA4" s="28">
        <f t="shared" si="16"/>
        <v>46081</v>
      </c>
      <c r="AB4" s="29">
        <f t="shared" si="16"/>
        <v>46082</v>
      </c>
      <c r="AC4" s="27">
        <f>AB4+1</f>
        <v>46083</v>
      </c>
      <c r="AD4" s="28">
        <f>AC4+1</f>
        <v>46084</v>
      </c>
      <c r="AE4" s="28">
        <f t="shared" si="16"/>
        <v>46085</v>
      </c>
      <c r="AF4" s="28">
        <f t="shared" si="16"/>
        <v>46086</v>
      </c>
      <c r="AG4" s="28">
        <f t="shared" si="16"/>
        <v>46087</v>
      </c>
      <c r="AH4" s="28">
        <f t="shared" si="16"/>
        <v>46088</v>
      </c>
      <c r="AI4" s="29">
        <f t="shared" si="16"/>
        <v>46089</v>
      </c>
      <c r="AJ4" s="27">
        <f>AI4+1</f>
        <v>46090</v>
      </c>
      <c r="AK4" s="28">
        <f>AJ4+1</f>
        <v>46091</v>
      </c>
      <c r="AL4" s="28">
        <f t="shared" si="16"/>
        <v>46092</v>
      </c>
      <c r="AM4" s="28">
        <f t="shared" si="16"/>
        <v>46093</v>
      </c>
      <c r="AN4" s="28">
        <f t="shared" si="16"/>
        <v>46094</v>
      </c>
      <c r="AO4" s="28">
        <f t="shared" si="16"/>
        <v>46095</v>
      </c>
      <c r="AP4" s="29">
        <f t="shared" si="16"/>
        <v>46096</v>
      </c>
      <c r="AQ4" s="27">
        <f>AP4+1</f>
        <v>46097</v>
      </c>
      <c r="AR4" s="28">
        <f>AQ4+1</f>
        <v>46098</v>
      </c>
      <c r="AS4" s="28">
        <f t="shared" si="16"/>
        <v>46099</v>
      </c>
      <c r="AT4" s="28">
        <f t="shared" si="16"/>
        <v>46100</v>
      </c>
      <c r="AU4" s="28">
        <f t="shared" si="16"/>
        <v>46101</v>
      </c>
      <c r="AV4" s="28">
        <f t="shared" si="16"/>
        <v>46102</v>
      </c>
      <c r="AW4" s="29">
        <f t="shared" si="16"/>
        <v>46103</v>
      </c>
      <c r="AX4" s="27">
        <f>AW4+1</f>
        <v>46104</v>
      </c>
      <c r="AY4" s="28">
        <f>AX4+1</f>
        <v>46105</v>
      </c>
      <c r="AZ4" s="28">
        <f t="shared" ref="AZ4:BD4" si="17">AY4+1</f>
        <v>46106</v>
      </c>
      <c r="BA4" s="28">
        <f t="shared" si="17"/>
        <v>46107</v>
      </c>
      <c r="BB4" s="28">
        <f t="shared" si="17"/>
        <v>46108</v>
      </c>
      <c r="BC4" s="28">
        <f t="shared" si="17"/>
        <v>46109</v>
      </c>
      <c r="BD4" s="29">
        <f t="shared" si="17"/>
        <v>46110</v>
      </c>
      <c r="BE4" s="27">
        <f>BD4+1</f>
        <v>46111</v>
      </c>
      <c r="BF4" s="28">
        <f>BE4+1</f>
        <v>46112</v>
      </c>
      <c r="BG4" s="28">
        <f t="shared" ref="BG4:BK4" si="18">BF4+1</f>
        <v>46113</v>
      </c>
      <c r="BH4" s="28">
        <f t="shared" si="18"/>
        <v>46114</v>
      </c>
      <c r="BI4" s="28">
        <f t="shared" si="18"/>
        <v>46115</v>
      </c>
      <c r="BJ4" s="28">
        <f t="shared" si="18"/>
        <v>46116</v>
      </c>
      <c r="BK4" s="29">
        <f t="shared" si="18"/>
        <v>46117</v>
      </c>
      <c r="BL4" s="27">
        <f>BK4+1</f>
        <v>46118</v>
      </c>
      <c r="BM4" s="28">
        <f>BL4+1</f>
        <v>46119</v>
      </c>
      <c r="BN4" s="28">
        <f t="shared" ref="BN4" si="19">BM4+1</f>
        <v>46120</v>
      </c>
      <c r="BO4" s="28">
        <f t="shared" ref="BO4" si="20">BN4+1</f>
        <v>46121</v>
      </c>
      <c r="BP4" s="28">
        <f t="shared" ref="BP4" si="21">BO4+1</f>
        <v>46122</v>
      </c>
      <c r="BQ4" s="28">
        <f t="shared" ref="BQ4" si="22">BP4+1</f>
        <v>46123</v>
      </c>
      <c r="BR4" s="29">
        <f t="shared" ref="BR4" si="23">BQ4+1</f>
        <v>46124</v>
      </c>
      <c r="BS4" s="27">
        <f>BR4+1</f>
        <v>46125</v>
      </c>
      <c r="BT4" s="28">
        <f>BS4+1</f>
        <v>46126</v>
      </c>
      <c r="BU4" s="28">
        <f t="shared" ref="BU4" si="24">BT4+1</f>
        <v>46127</v>
      </c>
      <c r="BV4" s="28">
        <f t="shared" ref="BV4" si="25">BU4+1</f>
        <v>46128</v>
      </c>
      <c r="BW4" s="28">
        <f t="shared" ref="BW4" si="26">BV4+1</f>
        <v>46129</v>
      </c>
      <c r="BX4" s="28">
        <f t="shared" ref="BX4" si="27">BW4+1</f>
        <v>46130</v>
      </c>
      <c r="BY4" s="29">
        <f t="shared" ref="BY4" si="28">BX4+1</f>
        <v>46131</v>
      </c>
      <c r="BZ4" s="27">
        <f>BY4+1</f>
        <v>46132</v>
      </c>
      <c r="CA4" s="28">
        <f>BZ4+1</f>
        <v>46133</v>
      </c>
      <c r="CB4" s="28">
        <f t="shared" ref="CB4" si="29">CA4+1</f>
        <v>46134</v>
      </c>
      <c r="CC4" s="28">
        <f t="shared" ref="CC4" si="30">CB4+1</f>
        <v>46135</v>
      </c>
      <c r="CD4" s="28">
        <f t="shared" ref="CD4" si="31">CC4+1</f>
        <v>46136</v>
      </c>
      <c r="CE4" s="28">
        <f t="shared" ref="CE4" si="32">CD4+1</f>
        <v>46137</v>
      </c>
      <c r="CF4" s="29">
        <f t="shared" ref="CF4" si="33">CE4+1</f>
        <v>46138</v>
      </c>
      <c r="CG4" s="27">
        <f>CF4+1</f>
        <v>46139</v>
      </c>
      <c r="CH4" s="28">
        <f>CG4+1</f>
        <v>46140</v>
      </c>
      <c r="CI4" s="28">
        <f t="shared" ref="CI4" si="34">CH4+1</f>
        <v>46141</v>
      </c>
      <c r="CJ4" s="28">
        <f t="shared" ref="CJ4" si="35">CI4+1</f>
        <v>46142</v>
      </c>
      <c r="CK4" s="28">
        <f t="shared" ref="CK4" si="36">CJ4+1</f>
        <v>46143</v>
      </c>
      <c r="CL4" s="28">
        <f t="shared" ref="CL4" si="37">CK4+1</f>
        <v>46144</v>
      </c>
      <c r="CM4" s="29">
        <f t="shared" ref="CM4" si="38">CL4+1</f>
        <v>46145</v>
      </c>
      <c r="CN4" s="27">
        <f>CM4+1</f>
        <v>46146</v>
      </c>
      <c r="CO4" s="28">
        <f>CN4+1</f>
        <v>46147</v>
      </c>
      <c r="CP4" s="28">
        <f t="shared" ref="CP4" si="39">CO4+1</f>
        <v>46148</v>
      </c>
      <c r="CQ4" s="28">
        <f t="shared" ref="CQ4" si="40">CP4+1</f>
        <v>46149</v>
      </c>
      <c r="CR4" s="28">
        <f t="shared" ref="CR4" si="41">CQ4+1</f>
        <v>46150</v>
      </c>
      <c r="CS4" s="28">
        <f t="shared" ref="CS4" si="42">CR4+1</f>
        <v>46151</v>
      </c>
      <c r="CT4" s="29">
        <f t="shared" ref="CT4" si="43">CS4+1</f>
        <v>46152</v>
      </c>
      <c r="CU4" s="27">
        <f>CT4+1</f>
        <v>46153</v>
      </c>
      <c r="CV4" s="28">
        <f>CU4+1</f>
        <v>46154</v>
      </c>
      <c r="CW4" s="28">
        <f t="shared" ref="CW4" si="44">CV4+1</f>
        <v>46155</v>
      </c>
      <c r="CX4" s="28">
        <f t="shared" ref="CX4" si="45">CW4+1</f>
        <v>46156</v>
      </c>
      <c r="CY4" s="28">
        <f t="shared" ref="CY4" si="46">CX4+1</f>
        <v>46157</v>
      </c>
      <c r="CZ4" s="28">
        <f t="shared" ref="CZ4" si="47">CY4+1</f>
        <v>46158</v>
      </c>
      <c r="DA4" s="29">
        <f t="shared" ref="DA4" si="48">CZ4+1</f>
        <v>46159</v>
      </c>
      <c r="DB4" s="27">
        <f>DA4+1</f>
        <v>46160</v>
      </c>
      <c r="DC4" s="28">
        <f>DB4+1</f>
        <v>46161</v>
      </c>
      <c r="DD4" s="28">
        <f t="shared" ref="DD4" si="49">DC4+1</f>
        <v>46162</v>
      </c>
      <c r="DE4" s="28">
        <f t="shared" ref="DE4" si="50">DD4+1</f>
        <v>46163</v>
      </c>
      <c r="DF4" s="28">
        <f t="shared" ref="DF4" si="51">DE4+1</f>
        <v>46164</v>
      </c>
      <c r="DG4" s="28">
        <f t="shared" ref="DG4" si="52">DF4+1</f>
        <v>46165</v>
      </c>
      <c r="DH4" s="29">
        <f t="shared" ref="DH4" si="53">DG4+1</f>
        <v>46166</v>
      </c>
      <c r="DI4" s="27">
        <f>DH4+1</f>
        <v>46167</v>
      </c>
      <c r="DJ4" s="28">
        <f>DI4+1</f>
        <v>46168</v>
      </c>
      <c r="DK4" s="28">
        <f t="shared" ref="DK4" si="54">DJ4+1</f>
        <v>46169</v>
      </c>
      <c r="DL4" s="28">
        <f t="shared" ref="DL4" si="55">DK4+1</f>
        <v>46170</v>
      </c>
      <c r="DM4" s="28">
        <f t="shared" ref="DM4" si="56">DL4+1</f>
        <v>46171</v>
      </c>
      <c r="DN4" s="28">
        <f t="shared" ref="DN4" si="57">DM4+1</f>
        <v>46172</v>
      </c>
      <c r="DO4" s="29">
        <f t="shared" ref="DO4" si="58">DN4+1</f>
        <v>46173</v>
      </c>
      <c r="DP4" s="27">
        <f>DO4+1</f>
        <v>46174</v>
      </c>
      <c r="DQ4" s="28">
        <f>DP4+1</f>
        <v>46175</v>
      </c>
      <c r="DR4" s="28">
        <f t="shared" ref="DR4" si="59">DQ4+1</f>
        <v>46176</v>
      </c>
      <c r="DS4" s="28">
        <f t="shared" ref="DS4" si="60">DR4+1</f>
        <v>46177</v>
      </c>
      <c r="DT4" s="28">
        <f t="shared" ref="DT4" si="61">DS4+1</f>
        <v>46178</v>
      </c>
      <c r="DU4" s="28">
        <f t="shared" ref="DU4" si="62">DT4+1</f>
        <v>46179</v>
      </c>
      <c r="DV4" s="29">
        <f t="shared" ref="DV4" si="63">DU4+1</f>
        <v>46180</v>
      </c>
    </row>
    <row r="5" spans="1:126" ht="27.6" customHeight="1" thickBot="1" x14ac:dyDescent="0.3">
      <c r="A5" s="18" t="s">
        <v>4</v>
      </c>
      <c r="B5" s="7" t="s">
        <v>5</v>
      </c>
      <c r="C5" s="8" t="s">
        <v>6</v>
      </c>
      <c r="D5" s="8" t="s">
        <v>7</v>
      </c>
      <c r="E5" s="30" t="s">
        <v>8</v>
      </c>
      <c r="F5" s="8"/>
      <c r="G5" s="8" t="s">
        <v>9</v>
      </c>
      <c r="H5" s="31" t="str">
        <f>LEFT(TEXT(H4,"TTTT;@"),1)</f>
        <v>M</v>
      </c>
      <c r="I5" s="31" t="str">
        <f t="shared" ref="I5:BT5" si="64">LEFT(TEXT(I4,"TTTT;@"),1)</f>
        <v>D</v>
      </c>
      <c r="J5" s="31" t="str">
        <f t="shared" si="64"/>
        <v>M</v>
      </c>
      <c r="K5" s="31" t="str">
        <f t="shared" si="64"/>
        <v>D</v>
      </c>
      <c r="L5" s="31" t="str">
        <f t="shared" si="64"/>
        <v>F</v>
      </c>
      <c r="M5" s="31" t="str">
        <f t="shared" si="64"/>
        <v>S</v>
      </c>
      <c r="N5" s="31" t="str">
        <f t="shared" si="64"/>
        <v>S</v>
      </c>
      <c r="O5" s="31" t="str">
        <f t="shared" si="64"/>
        <v>M</v>
      </c>
      <c r="P5" s="31" t="str">
        <f t="shared" si="64"/>
        <v>D</v>
      </c>
      <c r="Q5" s="31" t="str">
        <f t="shared" si="64"/>
        <v>M</v>
      </c>
      <c r="R5" s="31" t="str">
        <f t="shared" si="64"/>
        <v>D</v>
      </c>
      <c r="S5" s="31" t="str">
        <f t="shared" si="64"/>
        <v>F</v>
      </c>
      <c r="T5" s="31" t="str">
        <f t="shared" si="64"/>
        <v>S</v>
      </c>
      <c r="U5" s="31" t="str">
        <f t="shared" si="64"/>
        <v>S</v>
      </c>
      <c r="V5" s="31" t="str">
        <f t="shared" si="64"/>
        <v>M</v>
      </c>
      <c r="W5" s="31" t="str">
        <f t="shared" si="64"/>
        <v>D</v>
      </c>
      <c r="X5" s="31" t="str">
        <f t="shared" si="64"/>
        <v>M</v>
      </c>
      <c r="Y5" s="31" t="str">
        <f t="shared" si="64"/>
        <v>D</v>
      </c>
      <c r="Z5" s="31" t="str">
        <f t="shared" si="64"/>
        <v>F</v>
      </c>
      <c r="AA5" s="31" t="str">
        <f t="shared" si="64"/>
        <v>S</v>
      </c>
      <c r="AB5" s="31" t="str">
        <f t="shared" si="64"/>
        <v>S</v>
      </c>
      <c r="AC5" s="31" t="str">
        <f t="shared" si="64"/>
        <v>M</v>
      </c>
      <c r="AD5" s="31" t="str">
        <f t="shared" si="64"/>
        <v>D</v>
      </c>
      <c r="AE5" s="31" t="str">
        <f t="shared" si="64"/>
        <v>M</v>
      </c>
      <c r="AF5" s="31" t="str">
        <f t="shared" si="64"/>
        <v>D</v>
      </c>
      <c r="AG5" s="31" t="str">
        <f t="shared" si="64"/>
        <v>F</v>
      </c>
      <c r="AH5" s="31" t="str">
        <f t="shared" si="64"/>
        <v>S</v>
      </c>
      <c r="AI5" s="31" t="str">
        <f t="shared" si="64"/>
        <v>S</v>
      </c>
      <c r="AJ5" s="31" t="str">
        <f t="shared" si="64"/>
        <v>M</v>
      </c>
      <c r="AK5" s="31" t="str">
        <f t="shared" si="64"/>
        <v>D</v>
      </c>
      <c r="AL5" s="31" t="str">
        <f t="shared" si="64"/>
        <v>M</v>
      </c>
      <c r="AM5" s="31" t="str">
        <f t="shared" si="64"/>
        <v>D</v>
      </c>
      <c r="AN5" s="31" t="str">
        <f t="shared" si="64"/>
        <v>F</v>
      </c>
      <c r="AO5" s="31" t="str">
        <f t="shared" si="64"/>
        <v>S</v>
      </c>
      <c r="AP5" s="31" t="str">
        <f t="shared" si="64"/>
        <v>S</v>
      </c>
      <c r="AQ5" s="31" t="str">
        <f t="shared" si="64"/>
        <v>M</v>
      </c>
      <c r="AR5" s="31" t="str">
        <f t="shared" si="64"/>
        <v>D</v>
      </c>
      <c r="AS5" s="31" t="str">
        <f t="shared" si="64"/>
        <v>M</v>
      </c>
      <c r="AT5" s="31" t="str">
        <f t="shared" si="64"/>
        <v>D</v>
      </c>
      <c r="AU5" s="31" t="str">
        <f t="shared" si="64"/>
        <v>F</v>
      </c>
      <c r="AV5" s="31" t="str">
        <f t="shared" si="64"/>
        <v>S</v>
      </c>
      <c r="AW5" s="31" t="str">
        <f t="shared" si="64"/>
        <v>S</v>
      </c>
      <c r="AX5" s="31" t="str">
        <f t="shared" si="64"/>
        <v>M</v>
      </c>
      <c r="AY5" s="31" t="str">
        <f t="shared" si="64"/>
        <v>D</v>
      </c>
      <c r="AZ5" s="31" t="str">
        <f t="shared" si="64"/>
        <v>M</v>
      </c>
      <c r="BA5" s="31" t="str">
        <f t="shared" si="64"/>
        <v>D</v>
      </c>
      <c r="BB5" s="31" t="str">
        <f t="shared" si="64"/>
        <v>F</v>
      </c>
      <c r="BC5" s="31" t="str">
        <f t="shared" si="64"/>
        <v>S</v>
      </c>
      <c r="BD5" s="31" t="str">
        <f t="shared" si="64"/>
        <v>S</v>
      </c>
      <c r="BE5" s="31" t="str">
        <f t="shared" si="64"/>
        <v>M</v>
      </c>
      <c r="BF5" s="31" t="str">
        <f t="shared" si="64"/>
        <v>D</v>
      </c>
      <c r="BG5" s="31" t="str">
        <f t="shared" si="64"/>
        <v>M</v>
      </c>
      <c r="BH5" s="31" t="str">
        <f t="shared" si="64"/>
        <v>D</v>
      </c>
      <c r="BI5" s="31" t="str">
        <f t="shared" si="64"/>
        <v>F</v>
      </c>
      <c r="BJ5" s="31" t="str">
        <f t="shared" si="64"/>
        <v>S</v>
      </c>
      <c r="BK5" s="31" t="str">
        <f t="shared" si="64"/>
        <v>S</v>
      </c>
      <c r="BL5" s="31" t="str">
        <f t="shared" si="64"/>
        <v>M</v>
      </c>
      <c r="BM5" s="31" t="str">
        <f t="shared" si="64"/>
        <v>D</v>
      </c>
      <c r="BN5" s="31" t="str">
        <f t="shared" si="64"/>
        <v>M</v>
      </c>
      <c r="BO5" s="31" t="str">
        <f t="shared" si="64"/>
        <v>D</v>
      </c>
      <c r="BP5" s="31" t="str">
        <f t="shared" si="64"/>
        <v>F</v>
      </c>
      <c r="BQ5" s="31" t="str">
        <f t="shared" si="64"/>
        <v>S</v>
      </c>
      <c r="BR5" s="31" t="str">
        <f t="shared" si="64"/>
        <v>S</v>
      </c>
      <c r="BS5" s="31" t="str">
        <f t="shared" si="64"/>
        <v>M</v>
      </c>
      <c r="BT5" s="31" t="str">
        <f t="shared" si="64"/>
        <v>D</v>
      </c>
      <c r="BU5" s="31" t="str">
        <f t="shared" ref="BU5:DA5" si="65">LEFT(TEXT(BU4,"TTTT;@"),1)</f>
        <v>M</v>
      </c>
      <c r="BV5" s="31" t="str">
        <f t="shared" si="65"/>
        <v>D</v>
      </c>
      <c r="BW5" s="31" t="str">
        <f t="shared" si="65"/>
        <v>F</v>
      </c>
      <c r="BX5" s="31" t="str">
        <f t="shared" si="65"/>
        <v>S</v>
      </c>
      <c r="BY5" s="31" t="str">
        <f t="shared" si="65"/>
        <v>S</v>
      </c>
      <c r="BZ5" s="31" t="str">
        <f t="shared" si="65"/>
        <v>M</v>
      </c>
      <c r="CA5" s="31" t="str">
        <f t="shared" si="65"/>
        <v>D</v>
      </c>
      <c r="CB5" s="31" t="str">
        <f t="shared" si="65"/>
        <v>M</v>
      </c>
      <c r="CC5" s="31" t="str">
        <f t="shared" si="65"/>
        <v>D</v>
      </c>
      <c r="CD5" s="31" t="str">
        <f t="shared" si="65"/>
        <v>F</v>
      </c>
      <c r="CE5" s="31" t="str">
        <f t="shared" si="65"/>
        <v>S</v>
      </c>
      <c r="CF5" s="31" t="str">
        <f t="shared" si="65"/>
        <v>S</v>
      </c>
      <c r="CG5" s="31" t="str">
        <f t="shared" si="65"/>
        <v>M</v>
      </c>
      <c r="CH5" s="31" t="str">
        <f t="shared" si="65"/>
        <v>D</v>
      </c>
      <c r="CI5" s="31" t="str">
        <f t="shared" si="65"/>
        <v>M</v>
      </c>
      <c r="CJ5" s="31" t="str">
        <f t="shared" si="65"/>
        <v>D</v>
      </c>
      <c r="CK5" s="31" t="str">
        <f t="shared" si="65"/>
        <v>F</v>
      </c>
      <c r="CL5" s="31" t="str">
        <f t="shared" si="65"/>
        <v>S</v>
      </c>
      <c r="CM5" s="31" t="str">
        <f t="shared" si="65"/>
        <v>S</v>
      </c>
      <c r="CN5" s="31" t="str">
        <f t="shared" si="65"/>
        <v>M</v>
      </c>
      <c r="CO5" s="31" t="str">
        <f t="shared" si="65"/>
        <v>D</v>
      </c>
      <c r="CP5" s="31" t="str">
        <f t="shared" si="65"/>
        <v>M</v>
      </c>
      <c r="CQ5" s="31" t="str">
        <f t="shared" si="65"/>
        <v>D</v>
      </c>
      <c r="CR5" s="31" t="str">
        <f t="shared" si="65"/>
        <v>F</v>
      </c>
      <c r="CS5" s="31" t="str">
        <f t="shared" si="65"/>
        <v>S</v>
      </c>
      <c r="CT5" s="31" t="str">
        <f t="shared" si="65"/>
        <v>S</v>
      </c>
      <c r="CU5" s="31" t="str">
        <f t="shared" si="65"/>
        <v>M</v>
      </c>
      <c r="CV5" s="31" t="str">
        <f t="shared" si="65"/>
        <v>D</v>
      </c>
      <c r="CW5" s="31" t="str">
        <f t="shared" si="65"/>
        <v>M</v>
      </c>
      <c r="CX5" s="31" t="str">
        <f t="shared" si="65"/>
        <v>D</v>
      </c>
      <c r="CY5" s="31" t="str">
        <f t="shared" si="65"/>
        <v>F</v>
      </c>
      <c r="CZ5" s="31" t="str">
        <f t="shared" si="65"/>
        <v>S</v>
      </c>
      <c r="DA5" s="31" t="str">
        <f t="shared" si="65"/>
        <v>S</v>
      </c>
      <c r="DB5" s="31" t="str">
        <f t="shared" ref="DB5:DV5" si="66">LEFT(TEXT(DB4,"TTTT;@"),1)</f>
        <v>M</v>
      </c>
      <c r="DC5" s="31" t="str">
        <f t="shared" si="66"/>
        <v>D</v>
      </c>
      <c r="DD5" s="31" t="str">
        <f t="shared" si="66"/>
        <v>M</v>
      </c>
      <c r="DE5" s="31" t="str">
        <f t="shared" si="66"/>
        <v>D</v>
      </c>
      <c r="DF5" s="31" t="str">
        <f t="shared" si="66"/>
        <v>F</v>
      </c>
      <c r="DG5" s="31" t="str">
        <f t="shared" si="66"/>
        <v>S</v>
      </c>
      <c r="DH5" s="31" t="str">
        <f t="shared" si="66"/>
        <v>S</v>
      </c>
      <c r="DI5" s="31" t="str">
        <f t="shared" si="66"/>
        <v>M</v>
      </c>
      <c r="DJ5" s="31" t="str">
        <f t="shared" si="66"/>
        <v>D</v>
      </c>
      <c r="DK5" s="31" t="str">
        <f t="shared" si="66"/>
        <v>M</v>
      </c>
      <c r="DL5" s="31" t="str">
        <f t="shared" si="66"/>
        <v>D</v>
      </c>
      <c r="DM5" s="31" t="str">
        <f t="shared" si="66"/>
        <v>F</v>
      </c>
      <c r="DN5" s="31" t="str">
        <f t="shared" si="66"/>
        <v>S</v>
      </c>
      <c r="DO5" s="31" t="str">
        <f t="shared" si="66"/>
        <v>S</v>
      </c>
      <c r="DP5" s="31" t="str">
        <f t="shared" si="66"/>
        <v>M</v>
      </c>
      <c r="DQ5" s="31" t="str">
        <f t="shared" si="66"/>
        <v>D</v>
      </c>
      <c r="DR5" s="31" t="str">
        <f t="shared" si="66"/>
        <v>M</v>
      </c>
      <c r="DS5" s="31" t="str">
        <f t="shared" si="66"/>
        <v>D</v>
      </c>
      <c r="DT5" s="31" t="str">
        <f t="shared" si="66"/>
        <v>F</v>
      </c>
      <c r="DU5" s="31" t="str">
        <f t="shared" si="66"/>
        <v>S</v>
      </c>
      <c r="DV5" s="31" t="str">
        <f t="shared" si="66"/>
        <v>S</v>
      </c>
    </row>
    <row r="6" spans="1:126" ht="0.75" customHeight="1" thickBot="1" x14ac:dyDescent="0.3">
      <c r="A6" s="17" t="s">
        <v>10</v>
      </c>
      <c r="D6" t="s">
        <v>25</v>
      </c>
      <c r="E6" t="s">
        <v>26</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c r="DB6" s="14"/>
      <c r="DC6" s="14"/>
      <c r="DD6" s="14"/>
      <c r="DE6" s="14"/>
      <c r="DF6" s="14"/>
      <c r="DG6" s="14"/>
      <c r="DH6" s="14"/>
      <c r="DI6" s="14"/>
      <c r="DJ6" s="14"/>
      <c r="DK6" s="14"/>
      <c r="DL6" s="14"/>
      <c r="DM6" s="14"/>
      <c r="DN6" s="14"/>
      <c r="DO6" s="14"/>
      <c r="DP6" s="14"/>
      <c r="DQ6" s="14"/>
      <c r="DR6" s="14"/>
      <c r="DS6" s="14"/>
      <c r="DT6" s="14"/>
      <c r="DU6" s="14"/>
      <c r="DV6" s="14"/>
    </row>
    <row r="7" spans="1:126" s="2" customFormat="1" ht="27.6" customHeight="1" thickBot="1" x14ac:dyDescent="0.3">
      <c r="A7" s="18" t="s">
        <v>11</v>
      </c>
      <c r="B7" s="53" t="s">
        <v>19</v>
      </c>
      <c r="C7" s="34"/>
      <c r="D7" s="34"/>
      <c r="E7" s="34"/>
      <c r="F7" s="10"/>
      <c r="G7" s="10" t="str">
        <f t="shared" ref="G7:G54" si="67">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c r="DB7" s="14"/>
      <c r="DC7" s="14"/>
      <c r="DD7" s="14"/>
      <c r="DE7" s="14"/>
      <c r="DF7" s="14"/>
      <c r="DG7" s="14"/>
      <c r="DH7" s="14"/>
      <c r="DI7" s="14"/>
      <c r="DJ7" s="14"/>
      <c r="DK7" s="14"/>
      <c r="DL7" s="14"/>
      <c r="DM7" s="14"/>
      <c r="DN7" s="14"/>
      <c r="DO7" s="14"/>
      <c r="DP7" s="14"/>
      <c r="DQ7" s="14"/>
      <c r="DR7" s="14"/>
      <c r="DS7" s="14"/>
      <c r="DT7" s="14"/>
      <c r="DU7" s="14"/>
      <c r="DV7" s="14"/>
    </row>
    <row r="8" spans="1:126" s="2" customFormat="1" ht="15.75" thickBot="1" x14ac:dyDescent="0.3">
      <c r="A8" s="18"/>
      <c r="B8" s="75" t="s">
        <v>32</v>
      </c>
      <c r="C8" s="35" t="s">
        <v>25</v>
      </c>
      <c r="D8" s="33">
        <v>46062</v>
      </c>
      <c r="E8" s="33">
        <v>46075</v>
      </c>
      <c r="F8" s="10"/>
      <c r="G8" s="10">
        <f t="shared" si="67"/>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c r="DB8" s="14"/>
      <c r="DC8" s="14"/>
      <c r="DD8" s="14"/>
      <c r="DE8" s="14"/>
      <c r="DF8" s="14"/>
      <c r="DG8" s="14"/>
      <c r="DH8" s="14"/>
      <c r="DI8" s="14"/>
      <c r="DJ8" s="14"/>
      <c r="DK8" s="14"/>
      <c r="DL8" s="14"/>
      <c r="DM8" s="14"/>
      <c r="DN8" s="14"/>
      <c r="DO8" s="14"/>
      <c r="DP8" s="14"/>
      <c r="DQ8" s="14"/>
      <c r="DR8" s="14"/>
      <c r="DS8" s="14"/>
      <c r="DT8" s="14"/>
      <c r="DU8" s="14"/>
      <c r="DV8" s="14"/>
    </row>
    <row r="9" spans="1:126" s="2" customFormat="1" ht="15.75" thickBot="1" x14ac:dyDescent="0.3">
      <c r="A9" s="18"/>
      <c r="B9" s="76"/>
      <c r="C9" s="35" t="s">
        <v>26</v>
      </c>
      <c r="D9" s="33"/>
      <c r="E9" s="33"/>
      <c r="F9" s="10"/>
      <c r="G9" s="10" t="str">
        <f t="shared" si="67"/>
        <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c r="DB9" s="14"/>
      <c r="DC9" s="14"/>
      <c r="DD9" s="14"/>
      <c r="DE9" s="14"/>
      <c r="DF9" s="14"/>
      <c r="DG9" s="14"/>
      <c r="DH9" s="14"/>
      <c r="DI9" s="14"/>
      <c r="DJ9" s="14"/>
      <c r="DK9" s="14"/>
      <c r="DL9" s="14"/>
      <c r="DM9" s="14"/>
      <c r="DN9" s="14"/>
      <c r="DO9" s="14"/>
      <c r="DP9" s="14"/>
      <c r="DQ9" s="14"/>
      <c r="DR9" s="14"/>
      <c r="DS9" s="14"/>
      <c r="DT9" s="14"/>
      <c r="DU9" s="14"/>
      <c r="DV9" s="14"/>
    </row>
    <row r="10" spans="1:126" s="2" customFormat="1" ht="15" customHeight="1" thickBot="1" x14ac:dyDescent="0.3">
      <c r="A10" s="18" t="s">
        <v>12</v>
      </c>
      <c r="B10" s="75" t="s">
        <v>43</v>
      </c>
      <c r="C10" s="35" t="s">
        <v>25</v>
      </c>
      <c r="D10" s="33">
        <v>46062</v>
      </c>
      <c r="E10" s="33">
        <v>46075</v>
      </c>
      <c r="F10" s="10"/>
      <c r="G10" s="10">
        <f t="shared" si="67"/>
        <v>14</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c r="DB10" s="14"/>
      <c r="DC10" s="14"/>
      <c r="DD10" s="14"/>
      <c r="DE10" s="14"/>
      <c r="DF10" s="14"/>
      <c r="DG10" s="14"/>
      <c r="DH10" s="14"/>
      <c r="DI10" s="14"/>
      <c r="DJ10" s="14"/>
      <c r="DK10" s="14"/>
      <c r="DL10" s="14"/>
      <c r="DM10" s="14"/>
      <c r="DN10" s="14"/>
      <c r="DO10" s="14"/>
      <c r="DP10" s="14"/>
      <c r="DQ10" s="14"/>
      <c r="DR10" s="14"/>
      <c r="DS10" s="14"/>
      <c r="DT10" s="14"/>
      <c r="DU10" s="14"/>
      <c r="DV10" s="14"/>
    </row>
    <row r="11" spans="1:126" s="2" customFormat="1" ht="15" customHeight="1" thickBot="1" x14ac:dyDescent="0.3">
      <c r="A11" s="18"/>
      <c r="B11" s="76"/>
      <c r="C11" s="35" t="s">
        <v>26</v>
      </c>
      <c r="D11" s="33"/>
      <c r="E11" s="33"/>
      <c r="F11" s="10"/>
      <c r="G11" s="10" t="str">
        <f t="shared" si="67"/>
        <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c r="DB11" s="14"/>
      <c r="DC11" s="14"/>
      <c r="DD11" s="14"/>
      <c r="DE11" s="14"/>
      <c r="DF11" s="14"/>
      <c r="DG11" s="14"/>
      <c r="DH11" s="14"/>
      <c r="DI11" s="14"/>
      <c r="DJ11" s="14"/>
      <c r="DK11" s="14"/>
      <c r="DL11" s="14"/>
      <c r="DM11" s="14"/>
      <c r="DN11" s="14"/>
      <c r="DO11" s="14"/>
      <c r="DP11" s="14"/>
      <c r="DQ11" s="14"/>
      <c r="DR11" s="14"/>
      <c r="DS11" s="14"/>
      <c r="DT11" s="14"/>
      <c r="DU11" s="14"/>
      <c r="DV11" s="14"/>
    </row>
    <row r="12" spans="1:126" s="2" customFormat="1" ht="15" customHeight="1" thickBot="1" x14ac:dyDescent="0.3">
      <c r="A12" s="18" t="s">
        <v>12</v>
      </c>
      <c r="B12" s="75" t="s">
        <v>24</v>
      </c>
      <c r="C12" s="35" t="s">
        <v>25</v>
      </c>
      <c r="D12" s="33">
        <v>46062</v>
      </c>
      <c r="E12" s="33">
        <v>46075</v>
      </c>
      <c r="F12" s="10"/>
      <c r="G12" s="10">
        <f t="shared" si="67"/>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c r="DB12" s="14"/>
      <c r="DC12" s="14"/>
      <c r="DD12" s="14"/>
      <c r="DE12" s="14"/>
      <c r="DF12" s="14"/>
      <c r="DG12" s="14"/>
      <c r="DH12" s="14"/>
      <c r="DI12" s="14"/>
      <c r="DJ12" s="14"/>
      <c r="DK12" s="14"/>
      <c r="DL12" s="14"/>
      <c r="DM12" s="14"/>
      <c r="DN12" s="14"/>
      <c r="DO12" s="14"/>
      <c r="DP12" s="14"/>
      <c r="DQ12" s="14"/>
      <c r="DR12" s="14"/>
      <c r="DS12" s="14"/>
      <c r="DT12" s="14"/>
      <c r="DU12" s="14"/>
      <c r="DV12" s="14"/>
    </row>
    <row r="13" spans="1:126" s="2" customFormat="1" ht="15" customHeight="1" thickBot="1" x14ac:dyDescent="0.3">
      <c r="A13" s="18"/>
      <c r="B13" s="76"/>
      <c r="C13" s="35" t="s">
        <v>26</v>
      </c>
      <c r="D13" s="33"/>
      <c r="E13" s="33"/>
      <c r="F13" s="10"/>
      <c r="G13" s="10" t="str">
        <f t="shared" si="67"/>
        <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c r="DB13" s="14"/>
      <c r="DC13" s="14"/>
      <c r="DD13" s="14"/>
      <c r="DE13" s="14"/>
      <c r="DF13" s="14"/>
      <c r="DG13" s="14"/>
      <c r="DH13" s="14"/>
      <c r="DI13" s="14"/>
      <c r="DJ13" s="14"/>
      <c r="DK13" s="14"/>
      <c r="DL13" s="14"/>
      <c r="DM13" s="14"/>
      <c r="DN13" s="14"/>
      <c r="DO13" s="14"/>
      <c r="DP13" s="14"/>
      <c r="DQ13" s="14"/>
      <c r="DR13" s="14"/>
      <c r="DS13" s="14"/>
      <c r="DT13" s="14"/>
      <c r="DU13" s="14"/>
      <c r="DV13" s="14"/>
    </row>
    <row r="14" spans="1:126" s="2" customFormat="1" ht="30" customHeight="1" thickBot="1" x14ac:dyDescent="0.3">
      <c r="A14" s="18" t="s">
        <v>13</v>
      </c>
      <c r="B14" s="54" t="s">
        <v>41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c r="DB14" s="14"/>
      <c r="DC14" s="14"/>
      <c r="DD14" s="14"/>
      <c r="DE14" s="14"/>
      <c r="DF14" s="14"/>
      <c r="DG14" s="14"/>
      <c r="DH14" s="14"/>
      <c r="DI14" s="14"/>
      <c r="DJ14" s="14"/>
      <c r="DK14" s="14"/>
      <c r="DL14" s="14"/>
      <c r="DM14" s="14"/>
      <c r="DN14" s="14"/>
      <c r="DO14" s="14"/>
      <c r="DP14" s="14"/>
      <c r="DQ14" s="14"/>
      <c r="DR14" s="14"/>
      <c r="DS14" s="14"/>
      <c r="DT14" s="14"/>
      <c r="DU14" s="14"/>
      <c r="DV14" s="14"/>
    </row>
    <row r="15" spans="1:126" s="2" customFormat="1" ht="15" customHeight="1" thickBot="1" x14ac:dyDescent="0.3">
      <c r="A15" s="18"/>
      <c r="B15" s="73" t="s">
        <v>33</v>
      </c>
      <c r="C15" s="58" t="s">
        <v>25</v>
      </c>
      <c r="D15" s="39">
        <v>46076</v>
      </c>
      <c r="E15" s="39">
        <v>46103</v>
      </c>
      <c r="F15" s="10"/>
      <c r="G15" s="10">
        <f t="shared" si="67"/>
        <v>28</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c r="DB15" s="14"/>
      <c r="DC15" s="14"/>
      <c r="DD15" s="14"/>
      <c r="DE15" s="14"/>
      <c r="DF15" s="14"/>
      <c r="DG15" s="14"/>
      <c r="DH15" s="14"/>
      <c r="DI15" s="14"/>
      <c r="DJ15" s="14"/>
      <c r="DK15" s="14"/>
      <c r="DL15" s="14"/>
      <c r="DM15" s="14"/>
      <c r="DN15" s="14"/>
      <c r="DO15" s="14"/>
      <c r="DP15" s="14"/>
      <c r="DQ15" s="14"/>
      <c r="DR15" s="14"/>
      <c r="DS15" s="14"/>
      <c r="DT15" s="14"/>
      <c r="DU15" s="14"/>
      <c r="DV15" s="14"/>
    </row>
    <row r="16" spans="1:126" s="2" customFormat="1" ht="15" customHeight="1" thickBot="1" x14ac:dyDescent="0.3">
      <c r="A16" s="18"/>
      <c r="B16" s="74"/>
      <c r="C16" s="58" t="s">
        <v>26</v>
      </c>
      <c r="D16" s="39"/>
      <c r="E16" s="39"/>
      <c r="F16" s="10"/>
      <c r="G16" s="10" t="str">
        <f t="shared" si="67"/>
        <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c r="DB16" s="14"/>
      <c r="DC16" s="14"/>
      <c r="DD16" s="14"/>
      <c r="DE16" s="14"/>
      <c r="DF16" s="14"/>
      <c r="DG16" s="14"/>
      <c r="DH16" s="14"/>
      <c r="DI16" s="14"/>
      <c r="DJ16" s="14"/>
      <c r="DK16" s="14"/>
      <c r="DL16" s="14"/>
      <c r="DM16" s="14"/>
      <c r="DN16" s="14"/>
      <c r="DO16" s="14"/>
      <c r="DP16" s="14"/>
      <c r="DQ16" s="14"/>
      <c r="DR16" s="14"/>
      <c r="DS16" s="14"/>
      <c r="DT16" s="14"/>
      <c r="DU16" s="14"/>
      <c r="DV16" s="14"/>
    </row>
    <row r="17" spans="1:126" s="2" customFormat="1" ht="15" customHeight="1" thickBot="1" x14ac:dyDescent="0.3">
      <c r="A17" s="18"/>
      <c r="B17" s="73" t="s">
        <v>34</v>
      </c>
      <c r="C17" s="58" t="s">
        <v>25</v>
      </c>
      <c r="D17" s="39">
        <v>46076</v>
      </c>
      <c r="E17" s="39">
        <v>46103</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c r="DB17" s="14"/>
      <c r="DC17" s="14"/>
      <c r="DD17" s="14"/>
      <c r="DE17" s="14"/>
      <c r="DF17" s="14"/>
      <c r="DG17" s="14"/>
      <c r="DH17" s="14"/>
      <c r="DI17" s="14"/>
      <c r="DJ17" s="14"/>
      <c r="DK17" s="14"/>
      <c r="DL17" s="14"/>
      <c r="DM17" s="14"/>
      <c r="DN17" s="14"/>
      <c r="DO17" s="14"/>
      <c r="DP17" s="14"/>
      <c r="DQ17" s="14"/>
      <c r="DR17" s="14"/>
      <c r="DS17" s="14"/>
      <c r="DT17" s="14"/>
      <c r="DU17" s="14"/>
      <c r="DV17" s="14"/>
    </row>
    <row r="18" spans="1:126" s="2" customFormat="1" ht="15" customHeight="1" thickBot="1" x14ac:dyDescent="0.3">
      <c r="A18" s="18"/>
      <c r="B18" s="74"/>
      <c r="C18" s="58" t="s">
        <v>26</v>
      </c>
      <c r="D18" s="39"/>
      <c r="E18" s="39"/>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c r="DB18" s="14"/>
      <c r="DC18" s="14"/>
      <c r="DD18" s="14"/>
      <c r="DE18" s="14"/>
      <c r="DF18" s="14"/>
      <c r="DG18" s="14"/>
      <c r="DH18" s="14"/>
      <c r="DI18" s="14"/>
      <c r="DJ18" s="14"/>
      <c r="DK18" s="14"/>
      <c r="DL18" s="14"/>
      <c r="DM18" s="14"/>
      <c r="DN18" s="14"/>
      <c r="DO18" s="14"/>
      <c r="DP18" s="14"/>
      <c r="DQ18" s="14"/>
      <c r="DR18" s="14"/>
      <c r="DS18" s="14"/>
      <c r="DT18" s="14"/>
      <c r="DU18" s="14"/>
      <c r="DV18" s="14"/>
    </row>
    <row r="19" spans="1:126" s="2" customFormat="1" ht="15" customHeight="1" thickBot="1" x14ac:dyDescent="0.3">
      <c r="A19" s="18"/>
      <c r="B19" s="73" t="s">
        <v>35</v>
      </c>
      <c r="C19" s="58" t="s">
        <v>25</v>
      </c>
      <c r="D19" s="39">
        <v>46076</v>
      </c>
      <c r="E19" s="39">
        <v>46103</v>
      </c>
      <c r="F19" s="10"/>
      <c r="G19" s="10">
        <f t="shared" si="67"/>
        <v>28</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c r="DB19" s="14"/>
      <c r="DC19" s="14"/>
      <c r="DD19" s="14"/>
      <c r="DE19" s="14"/>
      <c r="DF19" s="14"/>
      <c r="DG19" s="14"/>
      <c r="DH19" s="14"/>
      <c r="DI19" s="14"/>
      <c r="DJ19" s="14"/>
      <c r="DK19" s="14"/>
      <c r="DL19" s="14"/>
      <c r="DM19" s="14"/>
      <c r="DN19" s="14"/>
      <c r="DO19" s="14"/>
      <c r="DP19" s="14"/>
      <c r="DQ19" s="14"/>
      <c r="DR19" s="14"/>
      <c r="DS19" s="14"/>
      <c r="DT19" s="14"/>
      <c r="DU19" s="14"/>
      <c r="DV19" s="14"/>
    </row>
    <row r="20" spans="1:126" s="2" customFormat="1" ht="15" customHeight="1" thickBot="1" x14ac:dyDescent="0.3">
      <c r="A20" s="18"/>
      <c r="B20" s="74"/>
      <c r="C20" s="58" t="s">
        <v>26</v>
      </c>
      <c r="D20" s="39"/>
      <c r="E20" s="39"/>
      <c r="F20" s="10"/>
      <c r="G20" s="10" t="str">
        <f t="shared" si="67"/>
        <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c r="DB20" s="14"/>
      <c r="DC20" s="14"/>
      <c r="DD20" s="14"/>
      <c r="DE20" s="14"/>
      <c r="DF20" s="14"/>
      <c r="DG20" s="14"/>
      <c r="DH20" s="14"/>
      <c r="DI20" s="14"/>
      <c r="DJ20" s="14"/>
      <c r="DK20" s="14"/>
      <c r="DL20" s="14"/>
      <c r="DM20" s="14"/>
      <c r="DN20" s="14"/>
      <c r="DO20" s="14"/>
      <c r="DP20" s="14"/>
      <c r="DQ20" s="14"/>
      <c r="DR20" s="14"/>
      <c r="DS20" s="14"/>
      <c r="DT20" s="14"/>
      <c r="DU20" s="14"/>
      <c r="DV20" s="14"/>
    </row>
    <row r="21" spans="1:126" s="2" customFormat="1" ht="30" customHeight="1" thickBot="1" x14ac:dyDescent="0.3">
      <c r="A21" s="17" t="s">
        <v>14</v>
      </c>
      <c r="B21" s="55" t="s">
        <v>42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c r="DB21" s="14"/>
      <c r="DC21" s="14"/>
      <c r="DD21" s="14"/>
      <c r="DE21" s="14"/>
      <c r="DF21" s="14"/>
      <c r="DG21" s="14"/>
      <c r="DH21" s="14"/>
      <c r="DI21" s="14"/>
      <c r="DJ21" s="14"/>
      <c r="DK21" s="14"/>
      <c r="DL21" s="14"/>
      <c r="DM21" s="14"/>
      <c r="DN21" s="14"/>
      <c r="DO21" s="14"/>
      <c r="DP21" s="14"/>
      <c r="DQ21" s="14"/>
      <c r="DR21" s="14"/>
      <c r="DS21" s="14"/>
      <c r="DT21" s="14"/>
      <c r="DU21" s="14"/>
      <c r="DV21" s="14"/>
    </row>
    <row r="22" spans="1:126" s="2" customFormat="1" ht="15" customHeight="1" thickBot="1" x14ac:dyDescent="0.3">
      <c r="A22" s="17"/>
      <c r="B22" s="66"/>
      <c r="C22" s="43" t="s">
        <v>25</v>
      </c>
      <c r="D22" s="44">
        <v>46076</v>
      </c>
      <c r="E22" s="44">
        <v>46103</v>
      </c>
      <c r="F22" s="10"/>
      <c r="G22" s="10">
        <f t="shared" si="67"/>
        <v>28</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c r="DB22" s="14"/>
      <c r="DC22" s="14"/>
      <c r="DD22" s="14"/>
      <c r="DE22" s="14"/>
      <c r="DF22" s="14"/>
      <c r="DG22" s="14"/>
      <c r="DH22" s="14"/>
      <c r="DI22" s="14"/>
      <c r="DJ22" s="14"/>
      <c r="DK22" s="14"/>
      <c r="DL22" s="14"/>
      <c r="DM22" s="14"/>
      <c r="DN22" s="14"/>
      <c r="DO22" s="14"/>
      <c r="DP22" s="14"/>
      <c r="DQ22" s="14"/>
      <c r="DR22" s="14"/>
      <c r="DS22" s="14"/>
      <c r="DT22" s="14"/>
      <c r="DU22" s="14"/>
      <c r="DV22" s="14"/>
    </row>
    <row r="23" spans="1:126" s="2" customFormat="1" ht="15" customHeight="1" thickBot="1" x14ac:dyDescent="0.3">
      <c r="A23" s="17"/>
      <c r="B23" s="67"/>
      <c r="C23" s="43" t="s">
        <v>26</v>
      </c>
      <c r="D23" s="44"/>
      <c r="E23" s="44"/>
      <c r="F23" s="10"/>
      <c r="G23" s="10" t="str">
        <f t="shared" si="67"/>
        <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c r="DB23" s="14"/>
      <c r="DC23" s="14"/>
      <c r="DD23" s="14"/>
      <c r="DE23" s="14"/>
      <c r="DF23" s="14"/>
      <c r="DG23" s="14"/>
      <c r="DH23" s="14"/>
      <c r="DI23" s="14"/>
      <c r="DJ23" s="14"/>
      <c r="DK23" s="14"/>
      <c r="DL23" s="14"/>
      <c r="DM23" s="14"/>
      <c r="DN23" s="14"/>
      <c r="DO23" s="14"/>
      <c r="DP23" s="14"/>
      <c r="DQ23" s="14"/>
      <c r="DR23" s="14"/>
      <c r="DS23" s="14"/>
      <c r="DT23" s="14"/>
      <c r="DU23" s="14"/>
      <c r="DV23" s="14"/>
    </row>
    <row r="24" spans="1:126" s="2" customFormat="1" ht="15" customHeight="1" thickBot="1" x14ac:dyDescent="0.3">
      <c r="A24" s="17"/>
      <c r="B24" s="66"/>
      <c r="C24" s="43" t="s">
        <v>25</v>
      </c>
      <c r="D24" s="44">
        <v>46076</v>
      </c>
      <c r="E24" s="44">
        <v>46103</v>
      </c>
      <c r="F24" s="10"/>
      <c r="G24" s="10">
        <f t="shared" si="67"/>
        <v>28</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c r="DB24" s="14"/>
      <c r="DC24" s="14"/>
      <c r="DD24" s="14"/>
      <c r="DE24" s="14"/>
      <c r="DF24" s="14"/>
      <c r="DG24" s="14"/>
      <c r="DH24" s="14"/>
      <c r="DI24" s="14"/>
      <c r="DJ24" s="14"/>
      <c r="DK24" s="14"/>
      <c r="DL24" s="14"/>
      <c r="DM24" s="14"/>
      <c r="DN24" s="14"/>
      <c r="DO24" s="14"/>
      <c r="DP24" s="14"/>
      <c r="DQ24" s="14"/>
      <c r="DR24" s="14"/>
      <c r="DS24" s="14"/>
      <c r="DT24" s="14"/>
      <c r="DU24" s="14"/>
      <c r="DV24" s="14"/>
    </row>
    <row r="25" spans="1:126" s="2" customFormat="1" ht="15" customHeight="1" thickBot="1" x14ac:dyDescent="0.3">
      <c r="A25" s="17"/>
      <c r="B25" s="67"/>
      <c r="C25" s="43" t="s">
        <v>26</v>
      </c>
      <c r="D25" s="44"/>
      <c r="E25" s="44"/>
      <c r="F25" s="10"/>
      <c r="G25" s="10" t="str">
        <f t="shared" si="67"/>
        <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c r="DB25" s="14"/>
      <c r="DC25" s="14"/>
      <c r="DD25" s="14"/>
      <c r="DE25" s="14"/>
      <c r="DF25" s="14"/>
      <c r="DG25" s="14"/>
      <c r="DH25" s="14"/>
      <c r="DI25" s="14"/>
      <c r="DJ25" s="14"/>
      <c r="DK25" s="14"/>
      <c r="DL25" s="14"/>
      <c r="DM25" s="14"/>
      <c r="DN25" s="14"/>
      <c r="DO25" s="14"/>
      <c r="DP25" s="14"/>
      <c r="DQ25" s="14"/>
      <c r="DR25" s="14"/>
      <c r="DS25" s="14"/>
      <c r="DT25" s="14"/>
      <c r="DU25" s="14"/>
      <c r="DV25" s="14"/>
    </row>
    <row r="26" spans="1:126" s="2" customFormat="1" ht="30" customHeight="1" thickBot="1" x14ac:dyDescent="0.3">
      <c r="A26" s="17"/>
      <c r="B26" s="56" t="s">
        <v>39</v>
      </c>
      <c r="C26" s="45"/>
      <c r="D26" s="46"/>
      <c r="E26" s="47"/>
      <c r="F26" s="10"/>
      <c r="G26" s="10"/>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c r="DB26" s="14"/>
      <c r="DC26" s="14"/>
      <c r="DD26" s="14"/>
      <c r="DE26" s="14"/>
      <c r="DF26" s="14"/>
      <c r="DG26" s="14"/>
      <c r="DH26" s="14"/>
      <c r="DI26" s="14"/>
      <c r="DJ26" s="14"/>
      <c r="DK26" s="14"/>
      <c r="DL26" s="14"/>
      <c r="DM26" s="14"/>
      <c r="DN26" s="14"/>
      <c r="DO26" s="14"/>
      <c r="DP26" s="14"/>
      <c r="DQ26" s="14"/>
      <c r="DR26" s="14"/>
      <c r="DS26" s="14"/>
      <c r="DT26" s="14"/>
      <c r="DU26" s="14"/>
      <c r="DV26" s="14"/>
    </row>
    <row r="27" spans="1:126" s="2" customFormat="1" ht="15" customHeight="1" thickBot="1" x14ac:dyDescent="0.3">
      <c r="A27" s="17"/>
      <c r="B27" s="71" t="s">
        <v>36</v>
      </c>
      <c r="C27" s="48" t="s">
        <v>25</v>
      </c>
      <c r="D27" s="49">
        <v>46104</v>
      </c>
      <c r="E27" s="49">
        <v>46131</v>
      </c>
      <c r="F27" s="10"/>
      <c r="G27" s="10">
        <f t="shared" si="67"/>
        <v>28</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c r="DB27" s="14"/>
      <c r="DC27" s="14"/>
      <c r="DD27" s="14"/>
      <c r="DE27" s="14"/>
      <c r="DF27" s="14"/>
      <c r="DG27" s="14"/>
      <c r="DH27" s="14"/>
      <c r="DI27" s="14"/>
      <c r="DJ27" s="14"/>
      <c r="DK27" s="14"/>
      <c r="DL27" s="14"/>
      <c r="DM27" s="14"/>
      <c r="DN27" s="14"/>
      <c r="DO27" s="14"/>
      <c r="DP27" s="14"/>
      <c r="DQ27" s="14"/>
      <c r="DR27" s="14"/>
      <c r="DS27" s="14"/>
      <c r="DT27" s="14"/>
      <c r="DU27" s="14"/>
      <c r="DV27" s="14"/>
    </row>
    <row r="28" spans="1:126" s="2" customFormat="1" ht="15" customHeight="1" thickBot="1" x14ac:dyDescent="0.3">
      <c r="A28" s="17"/>
      <c r="B28" s="72"/>
      <c r="C28" s="48" t="s">
        <v>26</v>
      </c>
      <c r="D28" s="49"/>
      <c r="E28" s="49"/>
      <c r="F28" s="10"/>
      <c r="G28" s="10" t="str">
        <f t="shared" si="67"/>
        <v/>
      </c>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62"/>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c r="DB28" s="14"/>
      <c r="DC28" s="14"/>
      <c r="DD28" s="14"/>
      <c r="DE28" s="14"/>
      <c r="DF28" s="14"/>
      <c r="DG28" s="14"/>
      <c r="DH28" s="14"/>
      <c r="DI28" s="14"/>
      <c r="DJ28" s="14"/>
      <c r="DK28" s="14"/>
      <c r="DL28" s="14"/>
      <c r="DM28" s="14"/>
      <c r="DN28" s="14"/>
      <c r="DO28" s="14"/>
      <c r="DP28" s="14"/>
      <c r="DQ28" s="14"/>
      <c r="DR28" s="14"/>
      <c r="DS28" s="14"/>
      <c r="DT28" s="14"/>
      <c r="DU28" s="14"/>
      <c r="DV28" s="14"/>
    </row>
    <row r="29" spans="1:126" s="2" customFormat="1" ht="15" customHeight="1" thickBot="1" x14ac:dyDescent="0.3">
      <c r="A29" s="17"/>
      <c r="B29" s="71" t="s">
        <v>37</v>
      </c>
      <c r="C29" s="48" t="s">
        <v>25</v>
      </c>
      <c r="D29" s="49">
        <v>46104</v>
      </c>
      <c r="E29" s="49">
        <v>46131</v>
      </c>
      <c r="F29" s="10"/>
      <c r="G29" s="10">
        <f t="shared" si="67"/>
        <v>28</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c r="DB29" s="14"/>
      <c r="DC29" s="14"/>
      <c r="DD29" s="14"/>
      <c r="DE29" s="14"/>
      <c r="DF29" s="14"/>
      <c r="DG29" s="14"/>
      <c r="DH29" s="14"/>
      <c r="DI29" s="14"/>
      <c r="DJ29" s="14"/>
      <c r="DK29" s="14"/>
      <c r="DL29" s="14"/>
      <c r="DM29" s="14"/>
      <c r="DN29" s="14"/>
      <c r="DO29" s="14"/>
      <c r="DP29" s="14"/>
      <c r="DQ29" s="14"/>
      <c r="DR29" s="14"/>
      <c r="DS29" s="14"/>
      <c r="DT29" s="14"/>
      <c r="DU29" s="14"/>
      <c r="DV29" s="14"/>
    </row>
    <row r="30" spans="1:126" s="2" customFormat="1" ht="15" customHeight="1" thickBot="1" x14ac:dyDescent="0.3">
      <c r="A30" s="17"/>
      <c r="B30" s="72"/>
      <c r="C30" s="48" t="s">
        <v>26</v>
      </c>
      <c r="D30" s="49"/>
      <c r="E30" s="49"/>
      <c r="F30" s="10"/>
      <c r="G30" s="10" t="str">
        <f t="shared" si="67"/>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c r="DB30" s="14"/>
      <c r="DC30" s="14"/>
      <c r="DD30" s="14"/>
      <c r="DE30" s="14"/>
      <c r="DF30" s="14"/>
      <c r="DG30" s="14"/>
      <c r="DH30" s="14"/>
      <c r="DI30" s="14"/>
      <c r="DJ30" s="14"/>
      <c r="DK30" s="14"/>
      <c r="DL30" s="14"/>
      <c r="DM30" s="14"/>
      <c r="DN30" s="14"/>
      <c r="DO30" s="14"/>
      <c r="DP30" s="14"/>
      <c r="DQ30" s="14"/>
      <c r="DR30" s="14"/>
      <c r="DS30" s="14"/>
      <c r="DT30" s="14"/>
      <c r="DU30" s="14"/>
      <c r="DV30" s="14"/>
    </row>
    <row r="31" spans="1:126" s="2" customFormat="1" ht="15" customHeight="1" thickBot="1" x14ac:dyDescent="0.3">
      <c r="A31" s="17"/>
      <c r="B31" s="71" t="s">
        <v>38</v>
      </c>
      <c r="C31" s="48" t="s">
        <v>25</v>
      </c>
      <c r="D31" s="49">
        <v>46104</v>
      </c>
      <c r="E31" s="49">
        <v>46131</v>
      </c>
      <c r="F31" s="10"/>
      <c r="G31" s="10">
        <f t="shared" si="67"/>
        <v>28</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c r="DB31" s="14"/>
      <c r="DC31" s="14"/>
      <c r="DD31" s="14"/>
      <c r="DE31" s="14"/>
      <c r="DF31" s="14"/>
      <c r="DG31" s="14"/>
      <c r="DH31" s="14"/>
      <c r="DI31" s="14"/>
      <c r="DJ31" s="14"/>
      <c r="DK31" s="14"/>
      <c r="DL31" s="14"/>
      <c r="DM31" s="14"/>
      <c r="DN31" s="14"/>
      <c r="DO31" s="14"/>
      <c r="DP31" s="14"/>
      <c r="DQ31" s="14"/>
      <c r="DR31" s="14"/>
      <c r="DS31" s="14"/>
      <c r="DT31" s="14"/>
      <c r="DU31" s="14"/>
      <c r="DV31" s="14"/>
    </row>
    <row r="32" spans="1:126" s="2" customFormat="1" ht="15" customHeight="1" thickBot="1" x14ac:dyDescent="0.3">
      <c r="A32" s="17"/>
      <c r="B32" s="72"/>
      <c r="C32" s="48" t="s">
        <v>26</v>
      </c>
      <c r="D32" s="49"/>
      <c r="E32" s="49"/>
      <c r="F32" s="10"/>
      <c r="G32" s="10" t="str">
        <f t="shared" si="67"/>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62"/>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c r="DB32" s="14"/>
      <c r="DC32" s="14"/>
      <c r="DD32" s="14"/>
      <c r="DE32" s="14"/>
      <c r="DF32" s="14"/>
      <c r="DG32" s="14"/>
      <c r="DH32" s="14"/>
      <c r="DI32" s="14"/>
      <c r="DJ32" s="14"/>
      <c r="DK32" s="14"/>
      <c r="DL32" s="14"/>
      <c r="DM32" s="14"/>
      <c r="DN32" s="14"/>
      <c r="DO32" s="14"/>
      <c r="DP32" s="14"/>
      <c r="DQ32" s="14"/>
      <c r="DR32" s="14"/>
      <c r="DS32" s="14"/>
      <c r="DT32" s="14"/>
      <c r="DU32" s="14"/>
      <c r="DV32" s="14"/>
    </row>
    <row r="33" spans="1:126" s="2" customFormat="1" ht="27.6" customHeight="1" thickBot="1" x14ac:dyDescent="0.3">
      <c r="A33" s="18" t="s">
        <v>11</v>
      </c>
      <c r="B33" s="53" t="s">
        <v>40</v>
      </c>
      <c r="C33" s="34"/>
      <c r="D33" s="34"/>
      <c r="E33" s="34"/>
      <c r="F33" s="10"/>
      <c r="G33" s="10" t="str">
        <f t="shared" si="67"/>
        <v/>
      </c>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c r="DB33" s="14"/>
      <c r="DC33" s="14"/>
      <c r="DD33" s="14"/>
      <c r="DE33" s="14"/>
      <c r="DF33" s="14"/>
      <c r="DG33" s="14"/>
      <c r="DH33" s="14"/>
      <c r="DI33" s="14"/>
      <c r="DJ33" s="14"/>
      <c r="DK33" s="14"/>
      <c r="DL33" s="14"/>
      <c r="DM33" s="14"/>
      <c r="DN33" s="14"/>
      <c r="DO33" s="14"/>
      <c r="DP33" s="14"/>
      <c r="DQ33" s="14"/>
      <c r="DR33" s="14"/>
      <c r="DS33" s="14"/>
      <c r="DT33" s="14"/>
      <c r="DU33" s="14"/>
      <c r="DV33" s="14"/>
    </row>
    <row r="34" spans="1:126" s="2" customFormat="1" ht="15.75" thickBot="1" x14ac:dyDescent="0.3">
      <c r="A34" s="18"/>
      <c r="B34" s="75"/>
      <c r="C34" s="35" t="s">
        <v>25</v>
      </c>
      <c r="D34" s="33">
        <v>46104</v>
      </c>
      <c r="E34" s="33">
        <v>46131</v>
      </c>
      <c r="F34" s="10"/>
      <c r="G34" s="10">
        <f t="shared" si="67"/>
        <v>28</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c r="DB34" s="14"/>
      <c r="DC34" s="14"/>
      <c r="DD34" s="14"/>
      <c r="DE34" s="14"/>
      <c r="DF34" s="14"/>
      <c r="DG34" s="14"/>
      <c r="DH34" s="14"/>
      <c r="DI34" s="14"/>
      <c r="DJ34" s="14"/>
      <c r="DK34" s="14"/>
      <c r="DL34" s="14"/>
      <c r="DM34" s="14"/>
      <c r="DN34" s="14"/>
      <c r="DO34" s="14"/>
      <c r="DP34" s="14"/>
      <c r="DQ34" s="14"/>
      <c r="DR34" s="14"/>
      <c r="DS34" s="14"/>
      <c r="DT34" s="14"/>
      <c r="DU34" s="14"/>
      <c r="DV34" s="14"/>
    </row>
    <row r="35" spans="1:126" s="2" customFormat="1" ht="15.75" thickBot="1" x14ac:dyDescent="0.3">
      <c r="A35" s="18"/>
      <c r="B35" s="76"/>
      <c r="C35" s="35" t="s">
        <v>26</v>
      </c>
      <c r="D35" s="33"/>
      <c r="E35" s="33"/>
      <c r="F35" s="10"/>
      <c r="G35" s="10" t="str">
        <f t="shared" si="67"/>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c r="DB35" s="14"/>
      <c r="DC35" s="14"/>
      <c r="DD35" s="14"/>
      <c r="DE35" s="14"/>
      <c r="DF35" s="14"/>
      <c r="DG35" s="14"/>
      <c r="DH35" s="14"/>
      <c r="DI35" s="14"/>
      <c r="DJ35" s="14"/>
      <c r="DK35" s="14"/>
      <c r="DL35" s="14"/>
      <c r="DM35" s="14"/>
      <c r="DN35" s="14"/>
      <c r="DO35" s="14"/>
      <c r="DP35" s="14"/>
      <c r="DQ35" s="14"/>
      <c r="DR35" s="14"/>
      <c r="DS35" s="14"/>
      <c r="DT35" s="14"/>
      <c r="DU35" s="14"/>
      <c r="DV35" s="14"/>
    </row>
    <row r="36" spans="1:126" s="2" customFormat="1" ht="15" customHeight="1" thickBot="1" x14ac:dyDescent="0.3">
      <c r="A36" s="18" t="s">
        <v>12</v>
      </c>
      <c r="B36" s="75"/>
      <c r="C36" s="35" t="s">
        <v>25</v>
      </c>
      <c r="D36" s="33">
        <v>46104</v>
      </c>
      <c r="E36" s="33">
        <v>46131</v>
      </c>
      <c r="F36" s="10"/>
      <c r="G36" s="10">
        <f t="shared" si="67"/>
        <v>28</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c r="DB36" s="14"/>
      <c r="DC36" s="14"/>
      <c r="DD36" s="14"/>
      <c r="DE36" s="14"/>
      <c r="DF36" s="14"/>
      <c r="DG36" s="14"/>
      <c r="DH36" s="14"/>
      <c r="DI36" s="14"/>
      <c r="DJ36" s="14"/>
      <c r="DK36" s="14"/>
      <c r="DL36" s="14"/>
      <c r="DM36" s="14"/>
      <c r="DN36" s="14"/>
      <c r="DO36" s="14"/>
      <c r="DP36" s="14"/>
      <c r="DQ36" s="14"/>
      <c r="DR36" s="14"/>
      <c r="DS36" s="14"/>
      <c r="DT36" s="14"/>
      <c r="DU36" s="14"/>
      <c r="DV36" s="14"/>
    </row>
    <row r="37" spans="1:126" s="2" customFormat="1" ht="15" customHeight="1" thickBot="1" x14ac:dyDescent="0.3">
      <c r="A37" s="18"/>
      <c r="B37" s="76"/>
      <c r="C37" s="35" t="s">
        <v>26</v>
      </c>
      <c r="D37" s="33"/>
      <c r="E37" s="33"/>
      <c r="F37" s="10"/>
      <c r="G37" s="10" t="str">
        <f t="shared" si="67"/>
        <v/>
      </c>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c r="DB37" s="14"/>
      <c r="DC37" s="14"/>
      <c r="DD37" s="14"/>
      <c r="DE37" s="14"/>
      <c r="DF37" s="14"/>
      <c r="DG37" s="14"/>
      <c r="DH37" s="14"/>
      <c r="DI37" s="14"/>
      <c r="DJ37" s="14"/>
      <c r="DK37" s="14"/>
      <c r="DL37" s="14"/>
      <c r="DM37" s="14"/>
      <c r="DN37" s="14"/>
      <c r="DO37" s="14"/>
      <c r="DP37" s="14"/>
      <c r="DQ37" s="14"/>
      <c r="DR37" s="14"/>
      <c r="DS37" s="14"/>
      <c r="DT37" s="14"/>
      <c r="DU37" s="14"/>
      <c r="DV37" s="14"/>
    </row>
    <row r="38" spans="1:126" s="2" customFormat="1" ht="30" customHeight="1" thickBot="1" x14ac:dyDescent="0.3">
      <c r="A38" s="17" t="s">
        <v>14</v>
      </c>
      <c r="B38" s="55" t="s">
        <v>44</v>
      </c>
      <c r="C38" s="40"/>
      <c r="D38" s="41"/>
      <c r="E38" s="42"/>
      <c r="F38" s="10"/>
      <c r="G38" s="10"/>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c r="DB38" s="14"/>
      <c r="DC38" s="14"/>
      <c r="DD38" s="14"/>
      <c r="DE38" s="14"/>
      <c r="DF38" s="14"/>
      <c r="DG38" s="14"/>
      <c r="DH38" s="14"/>
      <c r="DI38" s="14"/>
      <c r="DJ38" s="14"/>
      <c r="DK38" s="14"/>
      <c r="DL38" s="14"/>
      <c r="DM38" s="14"/>
      <c r="DN38" s="14"/>
      <c r="DO38" s="14"/>
      <c r="DP38" s="14"/>
      <c r="DQ38" s="14"/>
      <c r="DR38" s="14"/>
      <c r="DS38" s="14"/>
      <c r="DT38" s="14"/>
      <c r="DU38" s="14"/>
      <c r="DV38" s="14"/>
    </row>
    <row r="39" spans="1:126" s="2" customFormat="1" ht="15" customHeight="1" thickBot="1" x14ac:dyDescent="0.3">
      <c r="A39" s="17"/>
      <c r="B39" s="66" t="s">
        <v>45</v>
      </c>
      <c r="C39" s="43" t="s">
        <v>25</v>
      </c>
      <c r="D39" s="44">
        <v>46132</v>
      </c>
      <c r="E39" s="44">
        <v>46145</v>
      </c>
      <c r="F39" s="10"/>
      <c r="G39" s="10">
        <f t="shared" si="67"/>
        <v>14</v>
      </c>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c r="AY39" s="14"/>
      <c r="AZ39" s="14"/>
      <c r="BA39" s="14"/>
      <c r="BB39" s="14"/>
      <c r="BC39" s="14"/>
      <c r="BD39" s="14"/>
      <c r="BE39" s="14"/>
      <c r="BF39" s="14"/>
      <c r="BG39" s="14"/>
      <c r="BH39" s="14"/>
      <c r="BI39" s="14"/>
      <c r="BJ39" s="14"/>
      <c r="BK39" s="14"/>
      <c r="BL39" s="14"/>
      <c r="BM39" s="14"/>
      <c r="BN39" s="14"/>
      <c r="BO39" s="14"/>
      <c r="BP39" s="14"/>
      <c r="BQ39" s="14"/>
      <c r="BR39" s="14"/>
      <c r="BS39" s="14"/>
      <c r="BT39" s="14"/>
      <c r="BU39" s="14"/>
      <c r="BV39" s="14"/>
      <c r="BW39" s="14"/>
      <c r="BX39" s="14"/>
      <c r="BY39" s="14"/>
      <c r="BZ39" s="14"/>
      <c r="CA39" s="14"/>
      <c r="CB39" s="14"/>
      <c r="CC39" s="14"/>
      <c r="CD39" s="14"/>
      <c r="CE39" s="14"/>
      <c r="CF39" s="14"/>
      <c r="CG39" s="14"/>
      <c r="CH39" s="14"/>
      <c r="CI39" s="14"/>
      <c r="CJ39" s="14"/>
      <c r="CK39" s="14"/>
      <c r="CL39" s="14"/>
      <c r="CM39" s="14"/>
      <c r="CN39" s="14"/>
      <c r="CO39" s="14"/>
      <c r="CP39" s="14"/>
      <c r="CQ39" s="14"/>
      <c r="CR39" s="14"/>
      <c r="CS39" s="14"/>
      <c r="CT39" s="14"/>
      <c r="CU39" s="14"/>
      <c r="CV39" s="14"/>
      <c r="CW39" s="14"/>
      <c r="CX39" s="14"/>
      <c r="CY39" s="14"/>
      <c r="CZ39" s="14"/>
      <c r="DA39" s="14"/>
      <c r="DB39" s="14"/>
      <c r="DC39" s="14"/>
      <c r="DD39" s="14"/>
      <c r="DE39" s="14"/>
      <c r="DF39" s="14"/>
      <c r="DG39" s="14"/>
      <c r="DH39" s="14"/>
      <c r="DI39" s="14"/>
      <c r="DJ39" s="14"/>
      <c r="DK39" s="14"/>
      <c r="DL39" s="14"/>
      <c r="DM39" s="14"/>
      <c r="DN39" s="14"/>
      <c r="DO39" s="14"/>
      <c r="DP39" s="14"/>
      <c r="DQ39" s="14"/>
      <c r="DR39" s="14"/>
      <c r="DS39" s="14"/>
      <c r="DT39" s="14"/>
      <c r="DU39" s="14"/>
      <c r="DV39" s="14"/>
    </row>
    <row r="40" spans="1:126" s="2" customFormat="1" ht="15" customHeight="1" thickBot="1" x14ac:dyDescent="0.3">
      <c r="A40" s="17"/>
      <c r="B40" s="67"/>
      <c r="C40" s="43" t="s">
        <v>26</v>
      </c>
      <c r="D40" s="44"/>
      <c r="E40" s="44"/>
      <c r="F40" s="10"/>
      <c r="G40" s="10" t="str">
        <f t="shared" si="67"/>
        <v/>
      </c>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c r="AY40" s="14"/>
      <c r="AZ40" s="14"/>
      <c r="BA40" s="14"/>
      <c r="BB40" s="14"/>
      <c r="BC40" s="14"/>
      <c r="BD40" s="14"/>
      <c r="BE40" s="14"/>
      <c r="BF40" s="14"/>
      <c r="BG40" s="14"/>
      <c r="BH40" s="14"/>
      <c r="BI40" s="14"/>
      <c r="BJ40" s="14"/>
      <c r="BK40" s="14"/>
      <c r="BL40" s="14"/>
      <c r="BM40" s="14"/>
      <c r="BN40" s="14"/>
      <c r="BO40" s="14"/>
      <c r="BP40" s="14"/>
      <c r="BQ40" s="14"/>
      <c r="BR40" s="14"/>
      <c r="BS40" s="14"/>
      <c r="BT40" s="14"/>
      <c r="BU40" s="14"/>
      <c r="BV40" s="14"/>
      <c r="BW40" s="14"/>
      <c r="BX40" s="14"/>
      <c r="BY40" s="14"/>
      <c r="BZ40" s="14"/>
      <c r="CA40" s="14"/>
      <c r="CB40" s="14"/>
      <c r="CC40" s="14"/>
      <c r="CD40" s="14"/>
      <c r="CE40" s="14"/>
      <c r="CF40" s="14"/>
      <c r="CG40" s="14"/>
      <c r="CH40" s="14"/>
      <c r="CI40" s="14"/>
      <c r="CJ40" s="14"/>
      <c r="CK40" s="14"/>
      <c r="CL40" s="14"/>
      <c r="CM40" s="14"/>
      <c r="CN40" s="14"/>
      <c r="CO40" s="14"/>
      <c r="CP40" s="14"/>
      <c r="CQ40" s="14"/>
      <c r="CR40" s="14"/>
      <c r="CS40" s="14"/>
      <c r="CT40" s="14"/>
      <c r="CU40" s="14"/>
      <c r="CV40" s="14"/>
      <c r="CW40" s="14"/>
      <c r="CX40" s="14"/>
      <c r="CY40" s="14"/>
      <c r="CZ40" s="14"/>
      <c r="DA40" s="14"/>
      <c r="DB40" s="14"/>
      <c r="DC40" s="14"/>
      <c r="DD40" s="14"/>
      <c r="DE40" s="14"/>
      <c r="DF40" s="14"/>
      <c r="DG40" s="14"/>
      <c r="DH40" s="14"/>
      <c r="DI40" s="14"/>
      <c r="DJ40" s="14"/>
      <c r="DK40" s="14"/>
      <c r="DL40" s="14"/>
      <c r="DM40" s="14"/>
      <c r="DN40" s="14"/>
      <c r="DO40" s="14"/>
      <c r="DP40" s="14"/>
      <c r="DQ40" s="14"/>
      <c r="DR40" s="14"/>
      <c r="DS40" s="14"/>
      <c r="DT40" s="14"/>
      <c r="DU40" s="14"/>
      <c r="DV40" s="14"/>
    </row>
    <row r="41" spans="1:126" s="2" customFormat="1" ht="15" customHeight="1" thickBot="1" x14ac:dyDescent="0.3">
      <c r="A41" s="17"/>
      <c r="B41" s="66"/>
      <c r="C41" s="43" t="s">
        <v>25</v>
      </c>
      <c r="D41" s="44">
        <v>46132</v>
      </c>
      <c r="E41" s="44">
        <v>46145</v>
      </c>
      <c r="F41" s="10"/>
      <c r="G41" s="10">
        <f t="shared" si="67"/>
        <v>14</v>
      </c>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c r="AY41" s="14"/>
      <c r="AZ41" s="14"/>
      <c r="BA41" s="14"/>
      <c r="BB41" s="14"/>
      <c r="BC41" s="14"/>
      <c r="BD41" s="14"/>
      <c r="BE41" s="14"/>
      <c r="BF41" s="14"/>
      <c r="BG41" s="14"/>
      <c r="BH41" s="14"/>
      <c r="BI41" s="14"/>
      <c r="BJ41" s="14"/>
      <c r="BK41" s="14"/>
      <c r="BL41" s="14"/>
      <c r="BM41" s="14"/>
      <c r="BN41" s="14"/>
      <c r="BO41" s="14"/>
      <c r="BP41" s="14"/>
      <c r="BQ41" s="14"/>
      <c r="BR41" s="14"/>
      <c r="BS41" s="14"/>
      <c r="BT41" s="14"/>
      <c r="BU41" s="14"/>
      <c r="BV41" s="14"/>
      <c r="BW41" s="14"/>
      <c r="BX41" s="14"/>
      <c r="BY41" s="14"/>
      <c r="BZ41" s="14"/>
      <c r="CA41" s="14"/>
      <c r="CB41" s="14"/>
      <c r="CC41" s="14"/>
      <c r="CD41" s="14"/>
      <c r="CE41" s="14"/>
      <c r="CF41" s="14"/>
      <c r="CG41" s="14"/>
      <c r="CH41" s="14"/>
      <c r="CI41" s="14"/>
      <c r="CJ41" s="14"/>
      <c r="CK41" s="14"/>
      <c r="CL41" s="14"/>
      <c r="CM41" s="14"/>
      <c r="CN41" s="14"/>
      <c r="CO41" s="14"/>
      <c r="CP41" s="14"/>
      <c r="CQ41" s="14"/>
      <c r="CR41" s="14"/>
      <c r="CS41" s="14"/>
      <c r="CT41" s="14"/>
      <c r="CU41" s="14"/>
      <c r="CV41" s="14"/>
      <c r="CW41" s="14"/>
      <c r="CX41" s="14"/>
      <c r="CY41" s="14"/>
      <c r="CZ41" s="14"/>
      <c r="DA41" s="14"/>
      <c r="DB41" s="14"/>
      <c r="DC41" s="14"/>
      <c r="DD41" s="14"/>
      <c r="DE41" s="14"/>
      <c r="DF41" s="14"/>
      <c r="DG41" s="14"/>
      <c r="DH41" s="14"/>
      <c r="DI41" s="14"/>
      <c r="DJ41" s="14"/>
      <c r="DK41" s="14"/>
      <c r="DL41" s="14"/>
      <c r="DM41" s="14"/>
      <c r="DN41" s="14"/>
      <c r="DO41" s="14"/>
      <c r="DP41" s="14"/>
      <c r="DQ41" s="14"/>
      <c r="DR41" s="14"/>
      <c r="DS41" s="14"/>
      <c r="DT41" s="14"/>
      <c r="DU41" s="14"/>
      <c r="DV41" s="14"/>
    </row>
    <row r="42" spans="1:126" s="2" customFormat="1" ht="15" customHeight="1" thickBot="1" x14ac:dyDescent="0.3">
      <c r="A42" s="17"/>
      <c r="B42" s="67"/>
      <c r="C42" s="43" t="s">
        <v>26</v>
      </c>
      <c r="D42" s="44"/>
      <c r="E42" s="44"/>
      <c r="F42" s="10"/>
      <c r="G42" s="10" t="str">
        <f t="shared" si="67"/>
        <v/>
      </c>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c r="AY42" s="14"/>
      <c r="AZ42" s="14"/>
      <c r="BA42" s="14"/>
      <c r="BB42" s="14"/>
      <c r="BC42" s="14"/>
      <c r="BD42" s="14"/>
      <c r="BE42" s="14"/>
      <c r="BF42" s="14"/>
      <c r="BG42" s="14"/>
      <c r="BH42" s="14"/>
      <c r="BI42" s="14"/>
      <c r="BJ42" s="14"/>
      <c r="BK42" s="14"/>
      <c r="BL42" s="14"/>
      <c r="BM42" s="14"/>
      <c r="BN42" s="14"/>
      <c r="BO42" s="14"/>
      <c r="BP42" s="14"/>
      <c r="BQ42" s="14"/>
      <c r="BR42" s="14"/>
      <c r="BS42" s="14"/>
      <c r="BT42" s="14"/>
      <c r="BU42" s="14"/>
      <c r="BV42" s="14"/>
      <c r="BW42" s="14"/>
      <c r="BX42" s="14"/>
      <c r="BY42" s="14"/>
      <c r="BZ42" s="14"/>
      <c r="CA42" s="14"/>
      <c r="CB42" s="14"/>
      <c r="CC42" s="14"/>
      <c r="CD42" s="14"/>
      <c r="CE42" s="14"/>
      <c r="CF42" s="14"/>
      <c r="CG42" s="14"/>
      <c r="CH42" s="14"/>
      <c r="CI42" s="14"/>
      <c r="CJ42" s="14"/>
      <c r="CK42" s="14"/>
      <c r="CL42" s="14"/>
      <c r="CM42" s="14"/>
      <c r="CN42" s="14"/>
      <c r="CO42" s="14"/>
      <c r="CP42" s="14"/>
      <c r="CQ42" s="14"/>
      <c r="CR42" s="14"/>
      <c r="CS42" s="14"/>
      <c r="CT42" s="14"/>
      <c r="CU42" s="14"/>
      <c r="CV42" s="14"/>
      <c r="CW42" s="14"/>
      <c r="CX42" s="14"/>
      <c r="CY42" s="14"/>
      <c r="CZ42" s="14"/>
      <c r="DA42" s="14"/>
      <c r="DB42" s="14"/>
      <c r="DC42" s="14"/>
      <c r="DD42" s="14"/>
      <c r="DE42" s="14"/>
      <c r="DF42" s="14"/>
      <c r="DG42" s="14"/>
      <c r="DH42" s="14"/>
      <c r="DI42" s="14"/>
      <c r="DJ42" s="14"/>
      <c r="DK42" s="14"/>
      <c r="DL42" s="14"/>
      <c r="DM42" s="14"/>
      <c r="DN42" s="14"/>
      <c r="DO42" s="14"/>
      <c r="DP42" s="14"/>
      <c r="DQ42" s="14"/>
      <c r="DR42" s="14"/>
      <c r="DS42" s="14"/>
      <c r="DT42" s="14"/>
      <c r="DU42" s="14"/>
      <c r="DV42" s="14"/>
    </row>
    <row r="43" spans="1:126" s="2" customFormat="1" ht="30" customHeight="1" thickBot="1" x14ac:dyDescent="0.3">
      <c r="A43" s="18" t="s">
        <v>13</v>
      </c>
      <c r="B43" s="54" t="s">
        <v>31</v>
      </c>
      <c r="C43" s="36"/>
      <c r="D43" s="37"/>
      <c r="E43" s="38"/>
      <c r="F43" s="10"/>
      <c r="G43" s="10"/>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c r="AY43" s="14"/>
      <c r="AZ43" s="14"/>
      <c r="BA43" s="14"/>
      <c r="BB43" s="14"/>
      <c r="BC43" s="14"/>
      <c r="BD43" s="14"/>
      <c r="BE43" s="14"/>
      <c r="BF43" s="14"/>
      <c r="BG43" s="14"/>
      <c r="BH43" s="14"/>
      <c r="BI43" s="14"/>
      <c r="BJ43" s="14"/>
      <c r="BK43" s="14"/>
      <c r="BL43" s="14"/>
      <c r="BM43" s="14"/>
      <c r="BN43" s="14"/>
      <c r="BO43" s="14"/>
      <c r="BP43" s="14"/>
      <c r="BQ43" s="14"/>
      <c r="BR43" s="14"/>
      <c r="BS43" s="14"/>
      <c r="BT43" s="14"/>
      <c r="BU43" s="14"/>
      <c r="BV43" s="14"/>
      <c r="BW43" s="14"/>
      <c r="BX43" s="14"/>
      <c r="BY43" s="14"/>
      <c r="BZ43" s="14"/>
      <c r="CA43" s="14"/>
      <c r="CB43" s="14"/>
      <c r="CC43" s="14"/>
      <c r="CD43" s="14"/>
      <c r="CE43" s="14"/>
      <c r="CF43" s="14"/>
      <c r="CG43" s="14"/>
      <c r="CH43" s="14"/>
      <c r="CI43" s="14"/>
      <c r="CJ43" s="14"/>
      <c r="CK43" s="14"/>
      <c r="CL43" s="14"/>
      <c r="CM43" s="14"/>
      <c r="CN43" s="14"/>
      <c r="CO43" s="14"/>
      <c r="CP43" s="14"/>
      <c r="CQ43" s="14"/>
      <c r="CR43" s="14"/>
      <c r="CS43" s="14"/>
      <c r="CT43" s="14"/>
      <c r="CU43" s="14"/>
      <c r="CV43" s="14"/>
      <c r="CW43" s="14"/>
      <c r="CX43" s="14"/>
      <c r="CY43" s="14"/>
      <c r="CZ43" s="14"/>
      <c r="DA43" s="14"/>
      <c r="DB43" s="14"/>
      <c r="DC43" s="14"/>
      <c r="DD43" s="14"/>
      <c r="DE43" s="14"/>
      <c r="DF43" s="14"/>
      <c r="DG43" s="14"/>
      <c r="DH43" s="14"/>
      <c r="DI43" s="14"/>
      <c r="DJ43" s="14"/>
      <c r="DK43" s="14"/>
      <c r="DL43" s="14"/>
      <c r="DM43" s="14"/>
      <c r="DN43" s="14"/>
      <c r="DO43" s="14"/>
      <c r="DP43" s="14"/>
      <c r="DQ43" s="14"/>
      <c r="DR43" s="14"/>
      <c r="DS43" s="14"/>
      <c r="DT43" s="14"/>
      <c r="DU43" s="14"/>
      <c r="DV43" s="14"/>
    </row>
    <row r="44" spans="1:126" s="2" customFormat="1" ht="15" customHeight="1" thickBot="1" x14ac:dyDescent="0.3">
      <c r="A44" s="18"/>
      <c r="B44" s="73" t="s">
        <v>28</v>
      </c>
      <c r="C44" s="58" t="s">
        <v>25</v>
      </c>
      <c r="D44" s="39">
        <v>46146</v>
      </c>
      <c r="E44" s="39">
        <v>46159</v>
      </c>
      <c r="F44" s="10"/>
      <c r="G44" s="10">
        <f t="shared" si="67"/>
        <v>14</v>
      </c>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c r="CJ44" s="14"/>
      <c r="CK44" s="14"/>
      <c r="CL44" s="14"/>
      <c r="CM44" s="14"/>
      <c r="CN44" s="14"/>
      <c r="CO44" s="14"/>
      <c r="CP44" s="14"/>
      <c r="CQ44" s="14"/>
      <c r="CR44" s="14"/>
      <c r="CS44" s="14"/>
      <c r="CT44" s="14"/>
      <c r="CU44" s="14"/>
      <c r="CV44" s="14"/>
      <c r="CW44" s="14"/>
      <c r="CX44" s="14"/>
      <c r="CY44" s="14"/>
      <c r="CZ44" s="14"/>
      <c r="DA44" s="14"/>
      <c r="DB44" s="14"/>
      <c r="DC44" s="14"/>
      <c r="DD44" s="14"/>
      <c r="DE44" s="14"/>
      <c r="DF44" s="14"/>
      <c r="DG44" s="14"/>
      <c r="DH44" s="14"/>
      <c r="DI44" s="14"/>
      <c r="DJ44" s="14"/>
      <c r="DK44" s="14"/>
      <c r="DL44" s="14"/>
      <c r="DM44" s="14"/>
      <c r="DN44" s="14"/>
      <c r="DO44" s="14"/>
      <c r="DP44" s="14"/>
      <c r="DQ44" s="14"/>
      <c r="DR44" s="14"/>
      <c r="DS44" s="14"/>
      <c r="DT44" s="14"/>
      <c r="DU44" s="14"/>
      <c r="DV44" s="14"/>
    </row>
    <row r="45" spans="1:126" s="2" customFormat="1" ht="15" customHeight="1" thickBot="1" x14ac:dyDescent="0.3">
      <c r="A45" s="18"/>
      <c r="B45" s="74"/>
      <c r="C45" s="58" t="s">
        <v>26</v>
      </c>
      <c r="D45" s="39"/>
      <c r="E45" s="39"/>
      <c r="F45" s="10"/>
      <c r="G45" s="10" t="str">
        <f t="shared" si="67"/>
        <v/>
      </c>
      <c r="H45" s="1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4"/>
      <c r="AQ45" s="14"/>
      <c r="AR45" s="14"/>
      <c r="AS45" s="14"/>
      <c r="AT45" s="14"/>
      <c r="AU45" s="14"/>
      <c r="AV45" s="14"/>
      <c r="AW45" s="14"/>
      <c r="AX45" s="14"/>
      <c r="AY45" s="14"/>
      <c r="AZ45" s="14"/>
      <c r="BA45" s="14"/>
      <c r="BB45" s="14"/>
      <c r="BC45" s="14"/>
      <c r="BD45" s="14"/>
      <c r="BE45" s="14"/>
      <c r="BF45" s="14"/>
      <c r="BG45" s="14"/>
      <c r="BH45" s="14"/>
      <c r="BI45" s="14"/>
      <c r="BJ45" s="14"/>
      <c r="BK45" s="14"/>
      <c r="BL45" s="14"/>
      <c r="BM45" s="14"/>
      <c r="BN45" s="14"/>
      <c r="BO45" s="14"/>
      <c r="BP45" s="14"/>
      <c r="BQ45" s="14"/>
      <c r="BR45" s="14"/>
      <c r="BS45" s="14"/>
      <c r="BT45" s="14"/>
      <c r="BU45" s="14"/>
      <c r="BV45" s="14"/>
      <c r="BW45" s="14"/>
      <c r="BX45" s="14"/>
      <c r="BY45" s="14"/>
      <c r="BZ45" s="14"/>
      <c r="CA45" s="14"/>
      <c r="CB45" s="14"/>
      <c r="CC45" s="14"/>
      <c r="CD45" s="14"/>
      <c r="CE45" s="14"/>
      <c r="CF45" s="14"/>
      <c r="CG45" s="14"/>
      <c r="CH45" s="14"/>
      <c r="CI45" s="14"/>
      <c r="CJ45" s="14"/>
      <c r="CK45" s="14"/>
      <c r="CL45" s="14"/>
      <c r="CM45" s="14"/>
      <c r="CN45" s="14"/>
      <c r="CO45" s="14"/>
      <c r="CP45" s="14"/>
      <c r="CQ45" s="14"/>
      <c r="CR45" s="14"/>
      <c r="CS45" s="14"/>
      <c r="CT45" s="14"/>
      <c r="CU45" s="14"/>
      <c r="CV45" s="14"/>
      <c r="CW45" s="14"/>
      <c r="CX45" s="14"/>
      <c r="CY45" s="14"/>
      <c r="CZ45" s="14"/>
      <c r="DA45" s="14"/>
      <c r="DB45" s="14"/>
      <c r="DC45" s="14"/>
      <c r="DD45" s="14"/>
      <c r="DE45" s="14"/>
      <c r="DF45" s="14"/>
      <c r="DG45" s="14"/>
      <c r="DH45" s="14"/>
      <c r="DI45" s="14"/>
      <c r="DJ45" s="14"/>
      <c r="DK45" s="14"/>
      <c r="DL45" s="14"/>
      <c r="DM45" s="14"/>
      <c r="DN45" s="14"/>
      <c r="DO45" s="14"/>
      <c r="DP45" s="14"/>
      <c r="DQ45" s="14"/>
      <c r="DR45" s="14"/>
      <c r="DS45" s="14"/>
      <c r="DT45" s="14"/>
      <c r="DU45" s="14"/>
      <c r="DV45" s="14"/>
    </row>
    <row r="46" spans="1:126" s="2" customFormat="1" ht="15" customHeight="1" thickBot="1" x14ac:dyDescent="0.3">
      <c r="A46" s="18"/>
      <c r="B46" s="73" t="s">
        <v>29</v>
      </c>
      <c r="C46" s="58" t="s">
        <v>25</v>
      </c>
      <c r="D46" s="39">
        <v>46146</v>
      </c>
      <c r="E46" s="39">
        <v>46159</v>
      </c>
      <c r="F46" s="10"/>
      <c r="G46" s="10"/>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c r="AY46" s="14"/>
      <c r="AZ46" s="14"/>
      <c r="BA46" s="14"/>
      <c r="BB46" s="14"/>
      <c r="BC46" s="14"/>
      <c r="BD46" s="14"/>
      <c r="BE46" s="14"/>
      <c r="BF46" s="14"/>
      <c r="BG46" s="14"/>
      <c r="BH46" s="14"/>
      <c r="BI46" s="14"/>
      <c r="BJ46" s="14"/>
      <c r="BK46" s="14"/>
      <c r="BL46" s="14"/>
      <c r="BM46" s="14"/>
      <c r="BN46" s="14"/>
      <c r="BO46" s="14"/>
      <c r="BP46" s="14"/>
      <c r="BQ46" s="14"/>
      <c r="BR46" s="14"/>
      <c r="BS46" s="14"/>
      <c r="BT46" s="14"/>
      <c r="BU46" s="14"/>
      <c r="BV46" s="14"/>
      <c r="BW46" s="14"/>
      <c r="BX46" s="14"/>
      <c r="BY46" s="14"/>
      <c r="BZ46" s="14"/>
      <c r="CA46" s="14"/>
      <c r="CB46" s="14"/>
      <c r="CC46" s="14"/>
      <c r="CD46" s="14"/>
      <c r="CE46" s="14"/>
      <c r="CF46" s="14"/>
      <c r="CG46" s="14"/>
      <c r="CH46" s="14"/>
      <c r="CI46" s="14"/>
      <c r="CJ46" s="14"/>
      <c r="CK46" s="14"/>
      <c r="CL46" s="14"/>
      <c r="CM46" s="14"/>
      <c r="CN46" s="14"/>
      <c r="CO46" s="14"/>
      <c r="CP46" s="14"/>
      <c r="CQ46" s="14"/>
      <c r="CR46" s="14"/>
      <c r="CS46" s="14"/>
      <c r="CT46" s="14"/>
      <c r="CU46" s="14"/>
      <c r="CV46" s="14"/>
      <c r="CW46" s="14"/>
      <c r="CX46" s="14"/>
      <c r="CY46" s="14"/>
      <c r="CZ46" s="14"/>
      <c r="DA46" s="14"/>
      <c r="DB46" s="14"/>
      <c r="DC46" s="14"/>
      <c r="DD46" s="14"/>
      <c r="DE46" s="14"/>
      <c r="DF46" s="14"/>
      <c r="DG46" s="14"/>
      <c r="DH46" s="14"/>
      <c r="DI46" s="14"/>
      <c r="DJ46" s="14"/>
      <c r="DK46" s="14"/>
      <c r="DL46" s="14"/>
      <c r="DM46" s="14"/>
      <c r="DN46" s="14"/>
      <c r="DO46" s="14"/>
      <c r="DP46" s="14"/>
      <c r="DQ46" s="14"/>
      <c r="DR46" s="14"/>
      <c r="DS46" s="14"/>
      <c r="DT46" s="14"/>
      <c r="DU46" s="14"/>
      <c r="DV46" s="14"/>
    </row>
    <row r="47" spans="1:126" s="2" customFormat="1" ht="15" customHeight="1" thickBot="1" x14ac:dyDescent="0.3">
      <c r="A47" s="18"/>
      <c r="B47" s="74"/>
      <c r="C47" s="58" t="s">
        <v>26</v>
      </c>
      <c r="D47" s="39"/>
      <c r="E47" s="39"/>
      <c r="F47" s="10"/>
      <c r="G47" s="10"/>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4"/>
      <c r="AS47" s="14"/>
      <c r="AT47" s="14"/>
      <c r="AU47" s="14"/>
      <c r="AV47" s="14"/>
      <c r="AW47" s="14"/>
      <c r="AX47" s="14"/>
      <c r="AY47" s="14"/>
      <c r="AZ47" s="14"/>
      <c r="BA47" s="14"/>
      <c r="BB47" s="14"/>
      <c r="BC47" s="14"/>
      <c r="BD47" s="14"/>
      <c r="BE47" s="14"/>
      <c r="BF47" s="14"/>
      <c r="BG47" s="14"/>
      <c r="BH47" s="14"/>
      <c r="BI47" s="14"/>
      <c r="BJ47" s="14"/>
      <c r="BK47" s="14"/>
      <c r="BL47" s="14"/>
      <c r="BM47" s="14"/>
      <c r="BN47" s="14"/>
      <c r="BO47" s="14"/>
      <c r="BP47" s="14"/>
      <c r="BQ47" s="14"/>
      <c r="BR47" s="14"/>
      <c r="BS47" s="14"/>
      <c r="BT47" s="14"/>
      <c r="BU47" s="14"/>
      <c r="BV47" s="14"/>
      <c r="BW47" s="14"/>
      <c r="BX47" s="14"/>
      <c r="BY47" s="14"/>
      <c r="BZ47" s="14"/>
      <c r="CA47" s="14"/>
      <c r="CB47" s="14"/>
      <c r="CC47" s="14"/>
      <c r="CD47" s="14"/>
      <c r="CE47" s="14"/>
      <c r="CF47" s="14"/>
      <c r="CG47" s="14"/>
      <c r="CH47" s="14"/>
      <c r="CI47" s="14"/>
      <c r="CJ47" s="14"/>
      <c r="CK47" s="14"/>
      <c r="CL47" s="14"/>
      <c r="CM47" s="14"/>
      <c r="CN47" s="14"/>
      <c r="CO47" s="14"/>
      <c r="CP47" s="14"/>
      <c r="CQ47" s="14"/>
      <c r="CR47" s="14"/>
      <c r="CS47" s="14"/>
      <c r="CT47" s="14"/>
      <c r="CU47" s="14"/>
      <c r="CV47" s="14"/>
      <c r="CW47" s="14"/>
      <c r="CX47" s="14"/>
      <c r="CY47" s="14"/>
      <c r="CZ47" s="14"/>
      <c r="DA47" s="14"/>
      <c r="DB47" s="14"/>
      <c r="DC47" s="14"/>
      <c r="DD47" s="14"/>
      <c r="DE47" s="14"/>
      <c r="DF47" s="14"/>
      <c r="DG47" s="14"/>
      <c r="DH47" s="14"/>
      <c r="DI47" s="14"/>
      <c r="DJ47" s="14"/>
      <c r="DK47" s="14"/>
      <c r="DL47" s="14"/>
      <c r="DM47" s="14"/>
      <c r="DN47" s="14"/>
      <c r="DO47" s="14"/>
      <c r="DP47" s="14"/>
      <c r="DQ47" s="14"/>
      <c r="DR47" s="14"/>
      <c r="DS47" s="14"/>
      <c r="DT47" s="14"/>
      <c r="DU47" s="14"/>
      <c r="DV47" s="14"/>
    </row>
    <row r="48" spans="1:126" s="2" customFormat="1" ht="30" customHeight="1" thickBot="1" x14ac:dyDescent="0.3">
      <c r="A48" s="17" t="s">
        <v>14</v>
      </c>
      <c r="B48" s="57" t="s">
        <v>27</v>
      </c>
      <c r="C48" s="50"/>
      <c r="D48" s="50"/>
      <c r="E48" s="50"/>
      <c r="F48" s="10"/>
      <c r="G48" s="10"/>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c r="AY48" s="14"/>
      <c r="AZ48" s="14"/>
      <c r="BA48" s="14"/>
      <c r="BB48" s="14"/>
      <c r="BC48" s="14"/>
      <c r="BD48" s="14"/>
      <c r="BE48" s="14"/>
      <c r="BF48" s="14"/>
      <c r="BG48" s="14"/>
      <c r="BH48" s="14"/>
      <c r="BI48" s="14"/>
      <c r="BJ48" s="14"/>
      <c r="BK48" s="14"/>
      <c r="BL48" s="14"/>
      <c r="BM48" s="14"/>
      <c r="BN48" s="14"/>
      <c r="BO48" s="14"/>
      <c r="BP48" s="14"/>
      <c r="BQ48" s="14"/>
      <c r="BR48" s="14"/>
      <c r="BS48" s="14"/>
      <c r="BT48" s="14"/>
      <c r="BU48" s="14"/>
      <c r="BV48" s="14"/>
      <c r="BW48" s="14"/>
      <c r="BX48" s="14"/>
      <c r="BY48" s="14"/>
      <c r="BZ48" s="14"/>
      <c r="CA48" s="14"/>
      <c r="CB48" s="14"/>
      <c r="CC48" s="14"/>
      <c r="CD48" s="14"/>
      <c r="CE48" s="14"/>
      <c r="CF48" s="14"/>
      <c r="CG48" s="14"/>
      <c r="CH48" s="14"/>
      <c r="CI48" s="14"/>
      <c r="CJ48" s="14"/>
      <c r="CK48" s="14"/>
      <c r="CL48" s="14"/>
      <c r="CM48" s="14"/>
      <c r="CN48" s="14"/>
      <c r="CO48" s="14"/>
      <c r="CP48" s="14"/>
      <c r="CQ48" s="14"/>
      <c r="CR48" s="14"/>
      <c r="CS48" s="14"/>
      <c r="CT48" s="14"/>
      <c r="CU48" s="14"/>
      <c r="CV48" s="14"/>
      <c r="CW48" s="14"/>
      <c r="CX48" s="14"/>
      <c r="CY48" s="14"/>
      <c r="CZ48" s="14"/>
      <c r="DA48" s="14"/>
      <c r="DB48" s="14"/>
      <c r="DC48" s="14"/>
      <c r="DD48" s="14"/>
      <c r="DE48" s="14"/>
      <c r="DF48" s="14"/>
      <c r="DG48" s="14"/>
      <c r="DH48" s="14"/>
      <c r="DI48" s="14"/>
      <c r="DJ48" s="14"/>
      <c r="DK48" s="14"/>
      <c r="DL48" s="14"/>
      <c r="DM48" s="14"/>
      <c r="DN48" s="14"/>
      <c r="DO48" s="14"/>
      <c r="DP48" s="14"/>
      <c r="DQ48" s="14"/>
      <c r="DR48" s="14"/>
      <c r="DS48" s="14"/>
      <c r="DT48" s="14"/>
      <c r="DU48" s="14"/>
      <c r="DV48" s="14"/>
    </row>
    <row r="49" spans="1:126" s="2" customFormat="1" ht="15" customHeight="1" thickBot="1" x14ac:dyDescent="0.3">
      <c r="A49" s="17"/>
      <c r="B49" s="68" t="s">
        <v>20</v>
      </c>
      <c r="C49" s="51" t="s">
        <v>25</v>
      </c>
      <c r="D49" s="52">
        <v>46116</v>
      </c>
      <c r="E49" s="52">
        <v>46177</v>
      </c>
      <c r="F49" s="10"/>
      <c r="G49" s="10">
        <f t="shared" si="67"/>
        <v>62</v>
      </c>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c r="AY49" s="14"/>
      <c r="AZ49" s="14"/>
      <c r="BA49" s="14"/>
      <c r="BB49" s="14"/>
      <c r="BC49" s="14"/>
      <c r="BD49" s="14"/>
      <c r="BE49" s="14"/>
      <c r="BF49" s="14"/>
      <c r="BG49" s="14"/>
      <c r="BH49" s="14"/>
      <c r="BI49" s="14"/>
      <c r="BJ49" s="14"/>
      <c r="BK49" s="14"/>
      <c r="BL49" s="14"/>
      <c r="BM49" s="14"/>
      <c r="BN49" s="14"/>
      <c r="BO49" s="14"/>
      <c r="BP49" s="14"/>
      <c r="BQ49" s="14"/>
      <c r="BR49" s="14"/>
      <c r="BS49" s="14"/>
      <c r="BT49" s="14"/>
      <c r="BU49" s="14"/>
      <c r="BV49" s="14"/>
      <c r="BW49" s="14"/>
      <c r="BX49" s="14"/>
      <c r="BY49" s="14"/>
      <c r="BZ49" s="14"/>
      <c r="CA49" s="14"/>
      <c r="CB49" s="14"/>
      <c r="CC49" s="14"/>
      <c r="CD49" s="14"/>
      <c r="CE49" s="14"/>
      <c r="CF49" s="14"/>
      <c r="CG49" s="14"/>
      <c r="CH49" s="14"/>
      <c r="CI49" s="14"/>
      <c r="CJ49" s="14"/>
      <c r="CK49" s="14"/>
      <c r="CL49" s="14"/>
      <c r="CM49" s="14"/>
      <c r="CN49" s="14"/>
      <c r="CO49" s="14"/>
      <c r="CP49" s="14"/>
      <c r="CQ49" s="14"/>
      <c r="CR49" s="14"/>
      <c r="CS49" s="14"/>
      <c r="CT49" s="14"/>
      <c r="CU49" s="14"/>
      <c r="CV49" s="14"/>
      <c r="CW49" s="14"/>
      <c r="CX49" s="14"/>
      <c r="CY49" s="14"/>
      <c r="CZ49" s="14"/>
      <c r="DA49" s="14"/>
      <c r="DB49" s="14"/>
      <c r="DC49" s="14"/>
      <c r="DD49" s="14"/>
      <c r="DE49" s="14"/>
      <c r="DF49" s="14"/>
      <c r="DG49" s="14"/>
      <c r="DH49" s="14"/>
      <c r="DI49" s="14"/>
      <c r="DJ49" s="14"/>
      <c r="DK49" s="14"/>
      <c r="DL49" s="14"/>
      <c r="DM49" s="14"/>
      <c r="DN49" s="14"/>
      <c r="DO49" s="14"/>
      <c r="DP49" s="14"/>
      <c r="DQ49" s="14"/>
      <c r="DR49" s="14"/>
      <c r="DS49" s="14"/>
      <c r="DT49" s="14"/>
      <c r="DU49" s="14"/>
      <c r="DV49" s="14"/>
    </row>
    <row r="50" spans="1:126" s="2" customFormat="1" ht="15" customHeight="1" thickBot="1" x14ac:dyDescent="0.3">
      <c r="A50" s="17"/>
      <c r="B50" s="70"/>
      <c r="C50" s="51" t="s">
        <v>26</v>
      </c>
      <c r="D50" s="52"/>
      <c r="E50" s="52"/>
      <c r="F50" s="10"/>
      <c r="G50" s="10" t="str">
        <f t="shared" si="67"/>
        <v/>
      </c>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c r="CJ50" s="14"/>
      <c r="CK50" s="14"/>
      <c r="CL50" s="14"/>
      <c r="CM50" s="14"/>
      <c r="CN50" s="14"/>
      <c r="CO50" s="14"/>
      <c r="CP50" s="14"/>
      <c r="CQ50" s="14"/>
      <c r="CR50" s="14"/>
      <c r="CS50" s="14"/>
      <c r="CT50" s="14"/>
      <c r="CU50" s="14"/>
      <c r="CV50" s="14"/>
      <c r="CW50" s="14"/>
      <c r="CX50" s="14"/>
      <c r="CY50" s="14"/>
      <c r="CZ50" s="14"/>
      <c r="DA50" s="14"/>
      <c r="DB50" s="14"/>
      <c r="DC50" s="14"/>
      <c r="DD50" s="14"/>
      <c r="DE50" s="14"/>
      <c r="DF50" s="14"/>
      <c r="DG50" s="14"/>
      <c r="DH50" s="14"/>
      <c r="DI50" s="14"/>
      <c r="DJ50" s="14"/>
      <c r="DK50" s="14"/>
      <c r="DL50" s="14"/>
      <c r="DM50" s="14"/>
      <c r="DN50" s="14"/>
      <c r="DO50" s="14"/>
      <c r="DP50" s="14"/>
      <c r="DQ50" s="14"/>
      <c r="DR50" s="14"/>
      <c r="DS50" s="14"/>
      <c r="DT50" s="14"/>
      <c r="DU50" s="14"/>
      <c r="DV50" s="14"/>
    </row>
    <row r="51" spans="1:126" s="2" customFormat="1" ht="15" customHeight="1" thickBot="1" x14ac:dyDescent="0.3">
      <c r="A51" s="17"/>
      <c r="B51" s="68" t="s">
        <v>21</v>
      </c>
      <c r="C51" s="51" t="s">
        <v>25</v>
      </c>
      <c r="D51" s="52">
        <v>46178</v>
      </c>
      <c r="E51" s="52">
        <v>46178</v>
      </c>
      <c r="F51" s="10"/>
      <c r="G51" s="10">
        <f t="shared" si="67"/>
        <v>1</v>
      </c>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c r="BY51" s="14"/>
      <c r="BZ51" s="14"/>
      <c r="CA51" s="14"/>
      <c r="CB51" s="14"/>
      <c r="CC51" s="14"/>
      <c r="CD51" s="14"/>
      <c r="CE51" s="14"/>
      <c r="CF51" s="14"/>
      <c r="CG51" s="14"/>
      <c r="CH51" s="14"/>
      <c r="CI51" s="14"/>
      <c r="CJ51" s="14"/>
      <c r="CK51" s="14"/>
      <c r="CL51" s="14"/>
      <c r="CM51" s="14"/>
      <c r="CN51" s="14"/>
      <c r="CO51" s="14"/>
      <c r="CP51" s="14"/>
      <c r="CQ51" s="14"/>
      <c r="CR51" s="14"/>
      <c r="CS51" s="14"/>
      <c r="CT51" s="14"/>
      <c r="CU51" s="14"/>
      <c r="CV51" s="14"/>
      <c r="CW51" s="14"/>
      <c r="CX51" s="14"/>
      <c r="CY51" s="14"/>
      <c r="CZ51" s="14"/>
      <c r="DA51" s="14"/>
      <c r="DB51" s="14"/>
      <c r="DC51" s="14"/>
      <c r="DD51" s="14"/>
      <c r="DE51" s="14"/>
      <c r="DF51" s="14"/>
      <c r="DG51" s="14"/>
      <c r="DH51" s="14"/>
      <c r="DI51" s="14"/>
      <c r="DJ51" s="14"/>
      <c r="DK51" s="14"/>
      <c r="DL51" s="14"/>
      <c r="DM51" s="14"/>
      <c r="DN51" s="14"/>
      <c r="DO51" s="14"/>
      <c r="DP51" s="14"/>
      <c r="DQ51" s="14"/>
      <c r="DR51" s="14"/>
      <c r="DS51" s="14"/>
      <c r="DT51" s="14"/>
      <c r="DU51" s="14"/>
      <c r="DV51" s="14"/>
    </row>
    <row r="52" spans="1:126" s="2" customFormat="1" ht="15" customHeight="1" thickBot="1" x14ac:dyDescent="0.3">
      <c r="A52" s="17"/>
      <c r="B52" s="69"/>
      <c r="C52" s="51" t="s">
        <v>26</v>
      </c>
      <c r="D52" s="52"/>
      <c r="E52" s="52"/>
      <c r="F52" s="10"/>
      <c r="G52" s="10" t="str">
        <f t="shared" si="67"/>
        <v/>
      </c>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4"/>
      <c r="AV52" s="14"/>
      <c r="AW52" s="14"/>
      <c r="AX52" s="14"/>
      <c r="AY52" s="14"/>
      <c r="AZ52" s="14"/>
      <c r="BA52" s="14"/>
      <c r="BB52" s="14"/>
      <c r="BC52" s="14"/>
      <c r="BD52" s="14"/>
      <c r="BE52" s="14"/>
      <c r="BF52" s="14"/>
      <c r="BG52" s="14"/>
      <c r="BH52" s="14"/>
      <c r="BI52" s="14"/>
      <c r="BJ52" s="14"/>
      <c r="BK52" s="14"/>
      <c r="BL52" s="14"/>
      <c r="BM52" s="14"/>
      <c r="BN52" s="14"/>
      <c r="BO52" s="14"/>
      <c r="BP52" s="14"/>
      <c r="BQ52" s="14"/>
      <c r="BR52" s="14"/>
      <c r="BS52" s="14"/>
      <c r="BT52" s="14"/>
      <c r="BU52" s="14"/>
      <c r="BV52" s="14"/>
      <c r="BW52" s="14"/>
      <c r="BX52" s="14"/>
      <c r="BY52" s="14"/>
      <c r="BZ52" s="14"/>
      <c r="CA52" s="14"/>
      <c r="CB52" s="14"/>
      <c r="CC52" s="14"/>
      <c r="CD52" s="14"/>
      <c r="CE52" s="14"/>
      <c r="CF52" s="14"/>
      <c r="CG52" s="14"/>
      <c r="CH52" s="14"/>
      <c r="CI52" s="14"/>
      <c r="CJ52" s="14"/>
      <c r="CK52" s="14"/>
      <c r="CL52" s="14"/>
      <c r="CM52" s="14"/>
      <c r="CN52" s="14"/>
      <c r="CO52" s="14"/>
      <c r="CP52" s="14"/>
      <c r="CQ52" s="14"/>
      <c r="CR52" s="14"/>
      <c r="CS52" s="14"/>
      <c r="CT52" s="14"/>
      <c r="CU52" s="14"/>
      <c r="CV52" s="14"/>
      <c r="CW52" s="14"/>
      <c r="CX52" s="14"/>
      <c r="CY52" s="14"/>
      <c r="CZ52" s="14"/>
      <c r="DA52" s="14"/>
      <c r="DB52" s="14"/>
      <c r="DC52" s="14"/>
      <c r="DD52" s="14"/>
      <c r="DE52" s="14"/>
      <c r="DF52" s="14"/>
      <c r="DG52" s="14"/>
      <c r="DH52" s="14"/>
      <c r="DI52" s="14"/>
      <c r="DJ52" s="14"/>
      <c r="DK52" s="14"/>
      <c r="DL52" s="14"/>
      <c r="DM52" s="14"/>
      <c r="DN52" s="14"/>
      <c r="DO52" s="14"/>
      <c r="DP52" s="14"/>
      <c r="DQ52" s="14"/>
      <c r="DR52" s="14"/>
      <c r="DS52" s="14"/>
      <c r="DT52" s="14"/>
      <c r="DU52" s="14"/>
      <c r="DV52" s="14"/>
    </row>
    <row r="53" spans="1:126" s="2" customFormat="1" ht="30" customHeight="1" thickBot="1" x14ac:dyDescent="0.3">
      <c r="A53" s="17" t="s">
        <v>15</v>
      </c>
      <c r="B53" s="21"/>
      <c r="C53" s="9"/>
      <c r="D53" s="24"/>
      <c r="E53" s="24"/>
      <c r="F53" s="10"/>
      <c r="G53" s="10" t="str">
        <f t="shared" si="67"/>
        <v/>
      </c>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c r="AY53" s="14"/>
      <c r="AZ53" s="14"/>
      <c r="BA53" s="14"/>
      <c r="BB53" s="14"/>
      <c r="BC53" s="14"/>
      <c r="BD53" s="14"/>
      <c r="BE53" s="14"/>
      <c r="BF53" s="14"/>
      <c r="BG53" s="14"/>
      <c r="BH53" s="14"/>
      <c r="BI53" s="14"/>
      <c r="BJ53" s="14"/>
      <c r="BK53" s="14"/>
      <c r="BL53" s="14"/>
      <c r="BM53" s="14"/>
      <c r="BN53" s="14"/>
      <c r="BO53" s="14"/>
      <c r="BP53" s="14"/>
      <c r="BQ53" s="14"/>
      <c r="BR53" s="14"/>
      <c r="BS53" s="14"/>
      <c r="BT53" s="14"/>
      <c r="BU53" s="14"/>
      <c r="BV53" s="14"/>
      <c r="BW53" s="14"/>
      <c r="BX53" s="14"/>
      <c r="BY53" s="14"/>
      <c r="BZ53" s="14"/>
      <c r="CA53" s="14"/>
      <c r="CB53" s="14"/>
      <c r="CC53" s="14"/>
      <c r="CD53" s="14"/>
      <c r="CE53" s="14"/>
      <c r="CF53" s="14"/>
      <c r="CG53" s="14"/>
      <c r="CH53" s="14"/>
      <c r="CI53" s="14"/>
      <c r="CJ53" s="14"/>
      <c r="CK53" s="14"/>
      <c r="CL53" s="14"/>
      <c r="CM53" s="14"/>
      <c r="CN53" s="14"/>
      <c r="CO53" s="14"/>
      <c r="CP53" s="14"/>
      <c r="CQ53" s="14"/>
      <c r="CR53" s="14"/>
      <c r="CS53" s="14"/>
      <c r="CT53" s="14"/>
      <c r="CU53" s="14"/>
      <c r="CV53" s="14"/>
      <c r="CW53" s="14"/>
      <c r="CX53" s="14"/>
      <c r="CY53" s="14"/>
      <c r="CZ53" s="14"/>
      <c r="DA53" s="14"/>
      <c r="DB53" s="14"/>
      <c r="DC53" s="14"/>
      <c r="DD53" s="14"/>
      <c r="DE53" s="14"/>
      <c r="DF53" s="14"/>
      <c r="DG53" s="14"/>
      <c r="DH53" s="14"/>
      <c r="DI53" s="14"/>
      <c r="DJ53" s="14"/>
      <c r="DK53" s="14"/>
      <c r="DL53" s="14"/>
      <c r="DM53" s="14"/>
      <c r="DN53" s="14"/>
      <c r="DO53" s="14"/>
      <c r="DP53" s="14"/>
      <c r="DQ53" s="14"/>
      <c r="DR53" s="14"/>
      <c r="DS53" s="14"/>
      <c r="DT53" s="14"/>
      <c r="DU53" s="14"/>
      <c r="DV53" s="14"/>
    </row>
    <row r="54" spans="1:126" s="2" customFormat="1" ht="30" customHeight="1" thickBot="1" x14ac:dyDescent="0.3">
      <c r="A54" s="18" t="s">
        <v>16</v>
      </c>
      <c r="B54" s="11" t="s">
        <v>17</v>
      </c>
      <c r="C54" s="12"/>
      <c r="D54" s="25"/>
      <c r="E54" s="26"/>
      <c r="F54" s="13"/>
      <c r="G54" s="13" t="str">
        <f t="shared" si="67"/>
        <v/>
      </c>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row>
    <row r="55" spans="1:126" ht="30" customHeight="1" x14ac:dyDescent="0.25">
      <c r="F55" s="5"/>
    </row>
    <row r="56" spans="1:126" ht="30" customHeight="1" x14ac:dyDescent="0.25">
      <c r="E56" s="19"/>
    </row>
  </sheetData>
  <mergeCells count="37">
    <mergeCell ref="AJ3:AP3"/>
    <mergeCell ref="B8:B9"/>
    <mergeCell ref="B10:B11"/>
    <mergeCell ref="B12:B13"/>
    <mergeCell ref="B17:B18"/>
    <mergeCell ref="D2:E2"/>
    <mergeCell ref="H3:N3"/>
    <mergeCell ref="O3:U3"/>
    <mergeCell ref="V3:AB3"/>
    <mergeCell ref="AC3:AI3"/>
    <mergeCell ref="B27:B28"/>
    <mergeCell ref="B29:B30"/>
    <mergeCell ref="B34:B35"/>
    <mergeCell ref="B36:B37"/>
    <mergeCell ref="B39:B40"/>
    <mergeCell ref="B51:B52"/>
    <mergeCell ref="B49:B50"/>
    <mergeCell ref="B31:B32"/>
    <mergeCell ref="B44:B45"/>
    <mergeCell ref="B46:B47"/>
    <mergeCell ref="B41:B42"/>
    <mergeCell ref="DB3:DH3"/>
    <mergeCell ref="DI3:DO3"/>
    <mergeCell ref="DP3:DV3"/>
    <mergeCell ref="B24:B25"/>
    <mergeCell ref="B22:B23"/>
    <mergeCell ref="CU3:DA3"/>
    <mergeCell ref="BL3:BR3"/>
    <mergeCell ref="BS3:BY3"/>
    <mergeCell ref="BZ3:CF3"/>
    <mergeCell ref="CG3:CM3"/>
    <mergeCell ref="CN3:CT3"/>
    <mergeCell ref="AQ3:AW3"/>
    <mergeCell ref="AX3:BD3"/>
    <mergeCell ref="BE3:BK3"/>
    <mergeCell ref="B15:B16"/>
    <mergeCell ref="B19:B20"/>
  </mergeCells>
  <conditionalFormatting sqref="H4:DV54">
    <cfRule type="expression" dxfId="3" priority="1">
      <formula>AND(TODAY()&gt;=H$4,TODAY()&lt;I$4)</formula>
    </cfRule>
  </conditionalFormatting>
  <conditionalFormatting sqref="H6:DV54">
    <cfRule type="expression" dxfId="2" priority="2">
      <formula>#REF!=H$4</formula>
    </cfRule>
    <cfRule type="expression" dxfId="1" priority="3">
      <formula>AND(task_end&gt;=H$4,task_start&lt;I$4,$C6=$E$6)</formula>
    </cfRule>
    <cfRule type="expression" dxfId="0" priority="4">
      <formula>AND(task_end&gt;=H$4,task_start&lt;I$4,$C6=$D$6)</formula>
    </cfRule>
  </conditionalFormatting>
  <dataValidations disablePrompts="1"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2026-02-21T08:19:01Z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