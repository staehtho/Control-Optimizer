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A414C943-412F-4CBE-99A4-7018AD2D8889}" xr6:coauthVersionLast="47" xr6:coauthVersionMax="47" xr10:uidLastSave="{00000000-0000-0000-0000-000000000000}"/>
  <bookViews>
    <workbookView xWindow="-120" yWindow="-120" windowWidth="29040" windowHeight="15720" xr2:uid="{00000000-000D-0000-FFFF-FFFF00000000}"/>
  </bookViews>
  <sheets>
    <sheet name="Project plan" sheetId="11" r:id="rId1"/>
  </sheets>
  <definedNames>
    <definedName name="Anzeigewoche">'Project plan'!$D$3</definedName>
    <definedName name="_xlnm.Print_Titles" localSheetId="0">'Project plan'!$3:$5</definedName>
    <definedName name="Heute" localSheetId="0">TODAY()</definedName>
    <definedName name="Projektanfang">'Project plan'!$D$2</definedName>
    <definedName name="task_end" localSheetId="0">'Project plan'!$E1</definedName>
    <definedName name="task_progress" localSheetId="0">'Project plan'!$C1</definedName>
    <definedName name="task_start" localSheetId="0">'Project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P5" i="11" l="1"/>
  <c r="DQ4" i="11"/>
  <c r="DR4" i="11" s="1"/>
  <c r="DP4" i="11"/>
  <c r="DP3" i="11" s="1"/>
  <c r="DI4" i="11"/>
  <c r="DI3" i="11" s="1"/>
  <c r="DB4" i="11"/>
  <c r="DB3" i="11" s="1"/>
  <c r="G42" i="11"/>
  <c r="G41" i="11"/>
  <c r="G40" i="11"/>
  <c r="G39" i="11"/>
  <c r="G37" i="11"/>
  <c r="G36" i="11"/>
  <c r="G35" i="11"/>
  <c r="G34" i="11"/>
  <c r="G33" i="11"/>
  <c r="G30" i="11"/>
  <c r="G29" i="11"/>
  <c r="G28" i="11"/>
  <c r="G27" i="11"/>
  <c r="G45" i="11"/>
  <c r="G44" i="11"/>
  <c r="G49" i="11"/>
  <c r="G50" i="11"/>
  <c r="G51" i="11"/>
  <c r="G25" i="11"/>
  <c r="G24" i="11"/>
  <c r="G13" i="11"/>
  <c r="G12" i="11"/>
  <c r="G31" i="11"/>
  <c r="DS4" i="11" l="1"/>
  <c r="DR5" i="11"/>
  <c r="DQ5" i="11"/>
  <c r="DJ4" i="11"/>
  <c r="DI5" i="11"/>
  <c r="DC4" i="11"/>
  <c r="DB5" i="11"/>
  <c r="G11" i="11"/>
  <c r="G15" i="11"/>
  <c r="G16" i="11"/>
  <c r="G19" i="11"/>
  <c r="G20" i="11"/>
  <c r="G22" i="11"/>
  <c r="G23" i="11"/>
  <c r="G32" i="11"/>
  <c r="G52" i="11"/>
  <c r="G8" i="11"/>
  <c r="G9" i="11"/>
  <c r="G10" i="11"/>
  <c r="G6" i="11"/>
  <c r="DS5" i="11" l="1"/>
  <c r="DT4" i="11"/>
  <c r="DJ5" i="11"/>
  <c r="DK4" i="11"/>
  <c r="DD4" i="11"/>
  <c r="DC5" i="11"/>
  <c r="H4" i="11"/>
  <c r="H5" i="11" s="1"/>
  <c r="G54" i="11"/>
  <c r="G53" i="11"/>
  <c r="G7" i="11"/>
  <c r="DT5" i="11" l="1"/>
  <c r="DU4" i="11"/>
  <c r="DK5" i="11"/>
  <c r="DL4" i="11"/>
  <c r="DE4" i="11"/>
  <c r="DD5" i="11"/>
  <c r="I4" i="11"/>
  <c r="I5" i="11" s="1"/>
  <c r="H3" i="11"/>
  <c r="DU5" i="11" l="1"/>
  <c r="DV4" i="11"/>
  <c r="DV5" i="11" s="1"/>
  <c r="DL5" i="11"/>
  <c r="DM4" i="11"/>
  <c r="DE5" i="11"/>
  <c r="DF4" i="11"/>
  <c r="J4" i="11"/>
  <c r="J5" i="11" s="1"/>
  <c r="DM5" i="11" l="1"/>
  <c r="DN4" i="11"/>
  <c r="DF5" i="11"/>
  <c r="DG4" i="11"/>
  <c r="K4" i="11"/>
  <c r="K5" i="11" s="1"/>
  <c r="DO4" i="11" l="1"/>
  <c r="DO5" i="11" s="1"/>
  <c r="DN5" i="11"/>
  <c r="DH4" i="11"/>
  <c r="DH5" i="11" s="1"/>
  <c r="DG5" i="11"/>
  <c r="L4" i="11"/>
  <c r="L5" i="11" s="1"/>
  <c r="M4" i="11" l="1"/>
  <c r="M5" i="11" s="1"/>
  <c r="N4" i="11" l="1"/>
  <c r="N5" i="11" s="1"/>
  <c r="O4" i="11" l="1"/>
  <c r="O5" i="11" s="1"/>
  <c r="O3" i="11" l="1"/>
  <c r="P4" i="11"/>
  <c r="P5" i="11" s="1"/>
  <c r="Q4" i="11" l="1"/>
  <c r="Q5" i="11" s="1"/>
  <c r="R4" i="11" l="1"/>
  <c r="R5" i="11" s="1"/>
  <c r="S4" i="11" l="1"/>
  <c r="S5" i="11" s="1"/>
  <c r="T4" i="11" l="1"/>
  <c r="T5" i="11" s="1"/>
  <c r="U4" i="11" l="1"/>
  <c r="U5" i="11" s="1"/>
  <c r="V4" i="11" l="1"/>
  <c r="V5" i="11" s="1"/>
  <c r="V3" i="11" l="1"/>
  <c r="W4" i="11"/>
  <c r="W5" i="11" s="1"/>
  <c r="X4" i="11" l="1"/>
  <c r="X5" i="11" s="1"/>
  <c r="Y4" i="11" l="1"/>
  <c r="Y5" i="11" s="1"/>
  <c r="Z4" i="11" l="1"/>
  <c r="Z5" i="11" s="1"/>
  <c r="AA4" i="11" l="1"/>
  <c r="AA5" i="11" s="1"/>
  <c r="AB4" i="11" l="1"/>
  <c r="AB5" i="11" s="1"/>
  <c r="AC4" i="11" l="1"/>
  <c r="AC5" i="11" s="1"/>
  <c r="AC3" i="11" l="1"/>
  <c r="AD4" i="11"/>
  <c r="AD5" i="11" s="1"/>
  <c r="AE4" i="11" l="1"/>
  <c r="AE5" i="11" s="1"/>
  <c r="AF4" i="11" l="1"/>
  <c r="AF5" i="11" s="1"/>
  <c r="AG4" i="11" l="1"/>
  <c r="AG5" i="11" s="1"/>
  <c r="AH4" i="11" l="1"/>
  <c r="AH5" i="11" s="1"/>
  <c r="AI4" i="11" l="1"/>
  <c r="AI5" i="11" s="1"/>
  <c r="AJ4" i="11" l="1"/>
  <c r="AJ5" i="11" s="1"/>
  <c r="AJ3" i="11" l="1"/>
  <c r="AK4" i="11"/>
  <c r="AK5" i="11" s="1"/>
  <c r="AL4" i="11" l="1"/>
  <c r="AL5" i="11" s="1"/>
  <c r="AM4" i="11" l="1"/>
  <c r="AM5" i="11" s="1"/>
  <c r="AN4" i="11" l="1"/>
  <c r="AN5" i="11" s="1"/>
  <c r="AO4" i="11" l="1"/>
  <c r="AO5" i="11" s="1"/>
  <c r="AP4" i="11" l="1"/>
  <c r="AP5" i="11" s="1"/>
  <c r="AQ4" i="11" l="1"/>
  <c r="AQ5" i="11" s="1"/>
  <c r="AQ3" i="11" l="1"/>
  <c r="AR4" i="11"/>
  <c r="AR5" i="11" s="1"/>
  <c r="AS4" i="11" l="1"/>
  <c r="AS5" i="11" s="1"/>
  <c r="AT4" i="11" l="1"/>
  <c r="AT5" i="11" s="1"/>
  <c r="AU4" i="11" l="1"/>
  <c r="AU5" i="11" s="1"/>
  <c r="AV4" i="11" l="1"/>
  <c r="AV5" i="11" s="1"/>
  <c r="AW4" i="11" l="1"/>
  <c r="AW5" i="11" s="1"/>
  <c r="AX4" i="11" l="1"/>
  <c r="AX5" i="11" s="1"/>
  <c r="AX3" i="11" l="1"/>
  <c r="AY4" i="11"/>
  <c r="AY5" i="11" s="1"/>
  <c r="AZ4" i="11" l="1"/>
  <c r="AZ5" i="11" s="1"/>
  <c r="BA4" i="11" l="1"/>
  <c r="BA5" i="11" s="1"/>
  <c r="BB4" i="11" l="1"/>
  <c r="BB5" i="11" s="1"/>
  <c r="BC4" i="11" l="1"/>
  <c r="BC5" i="11" s="1"/>
  <c r="BD4" i="11" l="1"/>
  <c r="BD5" i="11" s="1"/>
  <c r="BE4" i="11" l="1"/>
  <c r="BE5" i="11" s="1"/>
  <c r="BE3" i="11" l="1"/>
  <c r="BF4" i="11"/>
  <c r="BF5" i="11" s="1"/>
  <c r="BG4" i="11" l="1"/>
  <c r="BG5" i="11" s="1"/>
  <c r="BH4" i="11" l="1"/>
  <c r="BH5" i="11" s="1"/>
  <c r="BI4" i="11" l="1"/>
  <c r="BI5" i="11" s="1"/>
  <c r="BJ4" i="11" l="1"/>
  <c r="BJ5" i="11" s="1"/>
  <c r="BK4" i="11" l="1"/>
  <c r="BK5" i="11" s="1"/>
  <c r="BL4" i="11" l="1"/>
  <c r="BL5" i="11" s="1"/>
  <c r="BL3" i="11" l="1"/>
  <c r="BM4" i="11"/>
  <c r="BM5" i="11" s="1"/>
  <c r="BN4" i="11" l="1"/>
  <c r="BN5" i="11" s="1"/>
  <c r="BO4" i="11" l="1"/>
  <c r="BO5" i="11" s="1"/>
  <c r="BP4" i="11" l="1"/>
  <c r="BP5" i="11" s="1"/>
  <c r="BQ4" i="11" l="1"/>
  <c r="BQ5" i="11" s="1"/>
  <c r="BR4" i="11" l="1"/>
  <c r="BR5" i="11" s="1"/>
  <c r="BS4" i="11" l="1"/>
  <c r="BS5" i="11" s="1"/>
  <c r="BS3" i="11" l="1"/>
  <c r="BT4" i="11"/>
  <c r="BT5" i="11" s="1"/>
  <c r="BU4" i="11" l="1"/>
  <c r="BU5" i="11" s="1"/>
  <c r="BV4" i="11" l="1"/>
  <c r="BV5" i="11" s="1"/>
  <c r="BW4" i="11" l="1"/>
  <c r="BW5" i="11" s="1"/>
  <c r="BX4" i="11" l="1"/>
  <c r="BX5" i="11" s="1"/>
  <c r="BY4" i="11" l="1"/>
  <c r="BY5" i="11" s="1"/>
  <c r="BZ4" i="11" l="1"/>
  <c r="BZ5" i="11" s="1"/>
  <c r="BZ3" i="11" l="1"/>
  <c r="CA4" i="11"/>
  <c r="CA5" i="11" s="1"/>
  <c r="CB4" i="11" l="1"/>
  <c r="CB5" i="11" s="1"/>
  <c r="CC4" i="11" l="1"/>
  <c r="CC5" i="11" s="1"/>
  <c r="CD4" i="11" l="1"/>
  <c r="CD5" i="11" s="1"/>
  <c r="CE4" i="11" l="1"/>
  <c r="CE5" i="11" s="1"/>
  <c r="CF4" i="11" l="1"/>
  <c r="CF5" i="11" s="1"/>
  <c r="CG4" i="11" l="1"/>
  <c r="CG5" i="11" s="1"/>
  <c r="CG3" i="11" l="1"/>
  <c r="CH4" i="11"/>
  <c r="CH5" i="11" s="1"/>
  <c r="CI4" i="11" l="1"/>
  <c r="CI5" i="11" s="1"/>
  <c r="CJ4" i="11" l="1"/>
  <c r="CJ5" i="11" s="1"/>
  <c r="CK4" i="11" l="1"/>
  <c r="CK5" i="11" s="1"/>
  <c r="CL4" i="11" l="1"/>
  <c r="CL5" i="11" s="1"/>
  <c r="CM4" i="11" l="1"/>
  <c r="CM5" i="11" s="1"/>
  <c r="CN4" i="11" l="1"/>
  <c r="CN5" i="11" s="1"/>
  <c r="CN3" i="11" l="1"/>
  <c r="CO4" i="11"/>
  <c r="CO5" i="11" s="1"/>
  <c r="CP4" i="11" l="1"/>
  <c r="CP5" i="11" s="1"/>
  <c r="CQ4" i="11" l="1"/>
  <c r="CQ5" i="11" s="1"/>
  <c r="CR4" i="11" l="1"/>
  <c r="CR5" i="11" s="1"/>
  <c r="CS4" i="11" l="1"/>
  <c r="CS5" i="11" s="1"/>
  <c r="CT4" i="11" l="1"/>
  <c r="CT5" i="11" s="1"/>
  <c r="CU4" i="11" l="1"/>
  <c r="CU5" i="11" s="1"/>
  <c r="CU3" i="11" l="1"/>
  <c r="CV4" i="11"/>
  <c r="CV5" i="11" s="1"/>
  <c r="CW4" i="11" l="1"/>
  <c r="CW5" i="11" s="1"/>
  <c r="CX4" i="11" l="1"/>
  <c r="CX5" i="11" s="1"/>
  <c r="CY4" i="11" l="1"/>
  <c r="CY5" i="11" s="1"/>
  <c r="CZ4" i="11" l="1"/>
  <c r="CZ5" i="11" s="1"/>
  <c r="DA4" i="11" l="1"/>
  <c r="DA5" i="11" s="1"/>
</calcChain>
</file>

<file path=xl/sharedStrings.xml><?xml version="1.0" encoding="utf-8"?>
<sst xmlns="http://schemas.openxmlformats.org/spreadsheetml/2006/main" count="91" uniqueCount="47">
  <si>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</si>
  <si>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</si>
  <si>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</si>
  <si>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</si>
  <si>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</si>
  <si>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TASK</t>
  </si>
  <si>
    <t>SHOULD / IS</t>
  </si>
  <si>
    <t>START</t>
  </si>
  <si>
    <t>END</t>
  </si>
  <si>
    <t>TAGE</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</si>
  <si>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</si>
  <si>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</si>
  <si>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</si>
  <si>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</si>
  <si>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</si>
  <si>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</si>
  <si>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</si>
  <si>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Insert new lines ABOVE this one</t>
  </si>
  <si>
    <t>Büchi Florin, Stähli Thomas</t>
  </si>
  <si>
    <t>Phase 1 Einarbeitung, Recherche</t>
  </si>
  <si>
    <t>Bericht schreiben</t>
  </si>
  <si>
    <t xml:space="preserve">Abgabe </t>
  </si>
  <si>
    <t>Projektstart</t>
  </si>
  <si>
    <t>Wochenanzeige</t>
  </si>
  <si>
    <t>Dokumentation Umfang Funktionalität Software</t>
  </si>
  <si>
    <t>SOLL</t>
  </si>
  <si>
    <t>IST</t>
  </si>
  <si>
    <t>Phase 6 Bericht schreiben</t>
  </si>
  <si>
    <t>PID-Parameter für Voice-Coil finden</t>
  </si>
  <si>
    <t>Parameter an echtem System testen</t>
  </si>
  <si>
    <t>BA: Control-Optimizer</t>
  </si>
  <si>
    <t>Phase 5 Voice-Coil</t>
  </si>
  <si>
    <t>Einarbeitung App-Entwicklung</t>
  </si>
  <si>
    <t>Auswertung Amplituden-, Phasen-, Stabilitätsreserve</t>
  </si>
  <si>
    <t>Generierung dynamische Bodeplots (L, T, S)</t>
  </si>
  <si>
    <t>Anti-Windup: Back-Calculation</t>
  </si>
  <si>
    <t>Optimierung nach Überschwingen</t>
  </si>
  <si>
    <t>Optimierung nach Reserven (Frequenzbereich)</t>
  </si>
  <si>
    <t>Filterzeitkonstante mitsimulieren</t>
  </si>
  <si>
    <t>Phase 3a Optimierung anpassen</t>
  </si>
  <si>
    <t>Phase 3b Simulationsumgebung an neue Funktionalität anpassen</t>
  </si>
  <si>
    <t>Phase 4 Verifikation</t>
  </si>
  <si>
    <t>???</t>
  </si>
  <si>
    <t>Phase 2a Erweiterung bestehende Applikation</t>
  </si>
  <si>
    <t>Phase 2b Entwicklung Simulationsumgebung mit bestehender Funktionalität</t>
  </si>
  <si>
    <t>Planung, Vorgehen</t>
  </si>
  <si>
    <t>evt wieder Anhand unseren Standard-Systemen? Unterschiede aufzeigen (falls welche vorhanden)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</si>
</sst>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dd\,\ d/m/yyyy"/>
    <numFmt numFmtId="170" formatCode="d"/>
    <numFmt numFmtId="171" formatCode="[$-809]d/\ mmm\ yyyy;@"/>
    <numFmt numFmtId="172" formatCode="[$-809]d;@"/>
    <numFmt numFmtId="173" formatCode="[$-807]d/\ mmm\ yyyy;@"/>
    <numFmt numFmtId="174" formatCode="[$-807]ddd\,\ d/m/yyyy;@"/>
  </numFmts>
  <fonts count="33"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sz val="11"/>
      <color theme="0"/>
      <name val="Calibri"/>
      <family val="2"/>
      <scheme val="minor"/>
    </font>
    <font>
      <b/>
      <sz val="11"/>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1"/>
      <name val="Calibri"/>
      <family val="2"/>
      <scheme val="minor"/>
    </font>
    <font>
      <b/>
      <sz val="9"/>
      <color theme="1"/>
      <name val="Calibri"/>
      <family val="2"/>
      <scheme val="minor"/>
    </font>
    <font>
      <sz val="11"/>
      <name val="Calibri"/>
      <family val="2"/>
    </font>
    <font>
      <b/>
      <sz val="11"/>
      <name val="Calibri"/>
      <family val="2"/>
    </font>
    <font>
      <sz val="14"/>
      <name val="Calibri"/>
      <family val="2"/>
      <scheme val="minor"/>
    </font>
    <font>
      <b/>
      <sz val="22"/>
      <color rgb="FF595959"/>
      <name val="Calibri"/>
      <family val="2"/>
      <scheme val="major"/>
    </font>
  </fonts>
  <fills count="4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CBAD"/>
        <bgColor indexed="64"/>
      </patternFill>
    </fill>
    <fill>
      <patternFill patternType="solid">
        <fgColor rgb="FFBDD7EE"/>
        <bgColor indexed="64"/>
      </patternFill>
    </fill>
    <fill>
      <patternFill patternType="solid">
        <fgColor rgb="FFA97FC9"/>
        <bgColor indexed="64"/>
      </patternFill>
    </fill>
    <fill>
      <patternFill patternType="solid">
        <fgColor rgb="FFF5B68B"/>
        <bgColor indexed="64"/>
      </patternFill>
    </fill>
    <fill>
      <patternFill patternType="solid">
        <fgColor rgb="FF95BEE3"/>
        <bgColor indexed="64"/>
      </patternFill>
    </fill>
    <fill>
      <patternFill patternType="solid">
        <fgColor rgb="FFD4BEE4"/>
        <bgColor indexed="64"/>
      </patternFill>
    </fill>
    <fill>
      <patternFill patternType="solid">
        <fgColor rgb="FFFFE9A3"/>
        <bgColor indexed="64"/>
      </patternFill>
    </fill>
    <fill>
      <patternFill patternType="solid">
        <fgColor rgb="FFFFDE75"/>
        <bgColor indexed="64"/>
      </patternFill>
    </fill>
    <fill>
      <patternFill patternType="solid">
        <fgColor rgb="FFD0DFAF"/>
        <bgColor indexed="64"/>
      </patternFill>
    </fill>
  </fills>
  <borders count="2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tint="-0.14996795556505021"/>
      </bottom>
      <diagonal/>
    </border>
    <border>
      <left/>
      <right/>
      <top/>
      <bottom style="medium">
        <color theme="0" tint="-0.14999847407452621"/>
      </bottom>
      <diagonal/>
    </border>
    <border>
      <left/>
      <right/>
      <top style="medium">
        <color theme="0" tint="-0.14996795556505021"/>
      </top>
      <bottom/>
      <diagonal/>
    </border>
    <border>
      <left/>
      <right/>
      <top style="medium">
        <color theme="0" tint="-0.14999847407452621"/>
      </top>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3" fillId="0" borderId="0"/>
    <xf numFmtId="167"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9" fontId="8" fillId="0" borderId="3">
      <alignment horizontal="center" vertical="center"/>
    </xf>
    <xf numFmtId="168"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15" fillId="0" borderId="0" applyNumberFormat="0" applyFill="0" applyBorder="0" applyAlignment="0" applyProtection="0"/>
    <xf numFmtId="166"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16" fillId="0" borderId="0" applyNumberFormat="0" applyFill="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20" fillId="10" borderId="11" applyNumberFormat="0" applyAlignment="0" applyProtection="0"/>
    <xf numFmtId="0" fontId="21" fillId="11" borderId="12" applyNumberFormat="0" applyAlignment="0" applyProtection="0"/>
    <xf numFmtId="0" fontId="22" fillId="11" borderId="11" applyNumberFormat="0" applyAlignment="0" applyProtection="0"/>
    <xf numFmtId="0" fontId="23" fillId="0" borderId="13" applyNumberFormat="0" applyFill="0" applyAlignment="0" applyProtection="0"/>
    <xf numFmtId="0" fontId="24" fillId="12" borderId="14" applyNumberFormat="0" applyAlignment="0" applyProtection="0"/>
    <xf numFmtId="0" fontId="25" fillId="0" borderId="0" applyNumberFormat="0" applyFill="0" applyBorder="0" applyAlignment="0" applyProtection="0"/>
    <xf numFmtId="0" fontId="8" fillId="13" borderId="15" applyNumberFormat="0" applyFont="0" applyAlignment="0" applyProtection="0"/>
    <xf numFmtId="0" fontId="26" fillId="0" borderId="0" applyNumberFormat="0" applyFill="0" applyBorder="0" applyAlignment="0" applyProtection="0"/>
    <xf numFmtId="0" fontId="5" fillId="0" borderId="16" applyNumberFormat="0" applyFill="0" applyAlignment="0" applyProtection="0"/>
    <xf numFmtId="0" fontId="13"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13"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13"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13"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13"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78">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6" borderId="1" xfId="0" applyFont="1" applyFill="1" applyBorder="1" applyAlignment="1">
      <alignment horizontal="left" vertical="center" indent="1"/>
    </xf>
    <xf numFmtId="0" fontId="6" fillId="6" borderId="1" xfId="0" applyFont="1" applyFill="1" applyBorder="1" applyAlignment="1">
      <alignment horizontal="center" vertical="center" wrapText="1"/>
    </xf>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1" fillId="0" borderId="0" xfId="0" applyFont="1" applyAlignment="1">
      <alignment horizontal="center" vertical="center"/>
    </xf>
    <xf numFmtId="0" fontId="13" fillId="0" borderId="0" xfId="3"/>
    <xf numFmtId="0" fontId="13" fillId="0" borderId="0" xfId="3" applyAlignment="1">
      <alignment wrapText="1"/>
    </xf>
    <xf numFmtId="0" fontId="13" fillId="0" borderId="0" xfId="0" applyFont="1" applyAlignment="1">
      <alignment horizontal="center"/>
    </xf>
    <xf numFmtId="0" fontId="9" fillId="0" borderId="0" xfId="6"/>
    <xf numFmtId="0" fontId="8" fillId="0" borderId="2" xfId="12">
      <alignment horizontal="left" vertical="center" indent="2"/>
    </xf>
    <xf numFmtId="0" fontId="0" fillId="0" borderId="10" xfId="0" applyBorder="1"/>
    <xf numFmtId="0" fontId="14" fillId="0" borderId="0" xfId="0" applyFont="1"/>
    <xf numFmtId="168" fontId="8" fillId="0" borderId="2" xfId="10">
      <alignment horizontal="center" vertical="center"/>
    </xf>
    <xf numFmtId="168" fontId="3" fillId="2" borderId="2" xfId="0" applyNumberFormat="1" applyFont="1" applyFill="1" applyBorder="1" applyAlignment="1">
      <alignment horizontal="left" vertical="center"/>
    </xf>
    <xf numFmtId="168" fontId="4" fillId="2" borderId="2" xfId="0" applyNumberFormat="1" applyFont="1" applyFill="1" applyBorder="1" applyAlignment="1">
      <alignment horizontal="center" vertical="center"/>
    </xf>
    <xf numFmtId="170" fontId="10" fillId="3" borderId="6" xfId="0" applyNumberFormat="1" applyFont="1" applyFill="1" applyBorder="1" applyAlignment="1">
      <alignment horizontal="center" vertical="center"/>
    </xf>
    <xf numFmtId="170" fontId="10" fillId="3" borderId="0" xfId="0" applyNumberFormat="1" applyFont="1" applyFill="1" applyAlignment="1">
      <alignment horizontal="center" vertical="center"/>
    </xf>
    <xf numFmtId="170" fontId="10" fillId="3" borderId="7" xfId="0" applyNumberFormat="1" applyFont="1" applyFill="1" applyBorder="1" applyAlignment="1">
      <alignment horizontal="center" vertical="center"/>
    </xf>
    <xf numFmtId="0" fontId="6" fillId="6" borderId="5" xfId="0" applyFont="1" applyFill="1" applyBorder="1" applyAlignment="1">
      <alignment horizontal="center" vertical="center" wrapText="1"/>
    </xf>
    <xf numFmtId="171" fontId="11" fillId="5" borderId="8" xfId="0" applyNumberFormat="1" applyFont="1" applyFill="1" applyBorder="1" applyAlignment="1">
      <alignment horizontal="center" vertical="center" shrinkToFit="1"/>
    </xf>
    <xf numFmtId="172" fontId="10" fillId="3" borderId="6" xfId="0" applyNumberFormat="1" applyFont="1" applyFill="1" applyBorder="1" applyAlignment="1">
      <alignment horizontal="center" vertical="center"/>
    </xf>
    <xf numFmtId="168" fontId="27" fillId="38" borderId="2" xfId="10" applyFont="1" applyFill="1">
      <alignment horizontal="center" vertical="center"/>
    </xf>
    <xf numFmtId="0" fontId="28" fillId="41" borderId="2" xfId="0" applyFont="1" applyFill="1" applyBorder="1" applyAlignment="1">
      <alignment horizontal="left" vertical="center" indent="1"/>
    </xf>
    <xf numFmtId="9" fontId="10" fillId="38" borderId="2" xfId="2" applyFont="1" applyFill="1" applyBorder="1" applyAlignment="1">
      <alignment horizontal="center" vertical="center"/>
    </xf>
    <xf numFmtId="9" fontId="10" fillId="45" borderId="2" xfId="2" applyFont="1" applyFill="1" applyBorder="1" applyAlignment="1">
      <alignment horizontal="center" vertical="center"/>
    </xf>
    <xf numFmtId="168" fontId="27" fillId="45" borderId="2" xfId="0" applyNumberFormat="1" applyFont="1" applyFill="1" applyBorder="1" applyAlignment="1">
      <alignment horizontal="center" vertical="center"/>
    </xf>
    <xf numFmtId="168" fontId="10" fillId="45" borderId="2" xfId="0" applyNumberFormat="1" applyFont="1" applyFill="1" applyBorder="1" applyAlignment="1">
      <alignment horizontal="center" vertical="center"/>
    </xf>
    <xf numFmtId="168" fontId="27" fillId="44" borderId="2" xfId="10" applyFont="1" applyFill="1">
      <alignment horizontal="center" vertical="center"/>
    </xf>
    <xf numFmtId="9" fontId="10" fillId="46" borderId="2" xfId="2" applyFont="1" applyFill="1" applyBorder="1" applyAlignment="1">
      <alignment horizontal="center" vertical="center"/>
    </xf>
    <xf numFmtId="168" fontId="27" fillId="46" borderId="2" xfId="0" applyNumberFormat="1" applyFont="1" applyFill="1" applyBorder="1" applyAlignment="1">
      <alignment horizontal="center" vertical="center"/>
    </xf>
    <xf numFmtId="168" fontId="10" fillId="46" borderId="2" xfId="0" applyNumberFormat="1" applyFont="1" applyFill="1" applyBorder="1" applyAlignment="1">
      <alignment horizontal="center" vertical="center"/>
    </xf>
    <xf numFmtId="9" fontId="10" fillId="4" borderId="2" xfId="2" applyFont="1" applyFill="1" applyBorder="1" applyAlignment="1">
      <alignment horizontal="center" vertical="center"/>
    </xf>
    <xf numFmtId="168" fontId="27" fillId="4" borderId="2" xfId="10" applyFont="1" applyFill="1">
      <alignment horizontal="center" vertical="center"/>
    </xf>
    <xf numFmtId="0" fontId="27" fillId="42" borderId="17" xfId="11" applyFont="1" applyFill="1" applyBorder="1">
      <alignment horizontal="center" vertical="center"/>
    </xf>
    <xf numFmtId="168" fontId="27" fillId="42" borderId="17" xfId="0" applyNumberFormat="1" applyFont="1" applyFill="1" applyBorder="1" applyAlignment="1">
      <alignment horizontal="center" vertical="center"/>
    </xf>
    <xf numFmtId="168" fontId="10" fillId="42" borderId="17" xfId="0" applyNumberFormat="1" applyFont="1" applyFill="1" applyBorder="1" applyAlignment="1">
      <alignment horizontal="center" vertical="center"/>
    </xf>
    <xf numFmtId="9" fontId="10" fillId="39" borderId="2" xfId="2" applyFont="1" applyFill="1" applyBorder="1" applyAlignment="1">
      <alignment horizontal="center" vertical="center"/>
    </xf>
    <xf numFmtId="168" fontId="27" fillId="39" borderId="2" xfId="10" applyFont="1" applyFill="1">
      <alignment horizontal="center" vertical="center"/>
    </xf>
    <xf numFmtId="0" fontId="27" fillId="40" borderId="18" xfId="0" applyFont="1" applyFill="1" applyBorder="1" applyAlignment="1">
      <alignment vertical="center"/>
    </xf>
    <xf numFmtId="9" fontId="10" fillId="43" borderId="2" xfId="2" applyFont="1" applyFill="1" applyBorder="1" applyAlignment="1">
      <alignment horizontal="center" vertical="center"/>
    </xf>
    <xf numFmtId="168" fontId="27" fillId="43" borderId="2" xfId="10" applyFont="1" applyFill="1">
      <alignment horizontal="center" vertical="center"/>
    </xf>
    <xf numFmtId="0" fontId="14" fillId="41" borderId="2" xfId="0" applyFont="1" applyFill="1" applyBorder="1" applyAlignment="1">
      <alignment horizontal="left" vertical="center" wrapText="1" indent="1"/>
    </xf>
    <xf numFmtId="0" fontId="14" fillId="45" borderId="2" xfId="0" applyFont="1" applyFill="1" applyBorder="1" applyAlignment="1">
      <alignment horizontal="left" vertical="center" wrapText="1" indent="1"/>
    </xf>
    <xf numFmtId="0" fontId="14" fillId="46" borderId="2" xfId="0" applyFont="1" applyFill="1" applyBorder="1" applyAlignment="1">
      <alignment horizontal="left" vertical="center" wrapText="1" indent="1"/>
    </xf>
    <xf numFmtId="0" fontId="14" fillId="42" borderId="17" xfId="0" applyFont="1" applyFill="1" applyBorder="1" applyAlignment="1">
      <alignment horizontal="left" vertical="center" wrapText="1" indent="1"/>
    </xf>
    <xf numFmtId="0" fontId="30" fillId="40" borderId="18" xfId="0" applyFont="1" applyFill="1" applyBorder="1" applyAlignment="1">
      <alignment horizontal="left" vertical="center" wrapText="1" indent="1"/>
    </xf>
    <xf numFmtId="9" fontId="10" fillId="44" borderId="2" xfId="2" applyFont="1" applyFill="1" applyBorder="1" applyAlignment="1">
      <alignment horizontal="center" vertical="center"/>
    </xf>
    <xf numFmtId="0" fontId="31" fillId="0" borderId="0" xfId="7" applyFont="1">
      <alignment vertical="top"/>
    </xf>
    <xf numFmtId="0" fontId="32" fillId="0" borderId="0" xfId="5" applyFont="1" applyAlignment="1">
      <alignment horizontal="left"/>
    </xf>
    <xf numFmtId="0" fontId="8" fillId="0" borderId="7" xfId="8" applyBorder="1">
      <alignment horizontal="right" indent="1"/>
    </xf>
    <xf numFmtId="14" fontId="0" fillId="0" borderId="9" xfId="0" applyNumberFormat="1" applyBorder="1" applyAlignment="1">
      <alignment vertical="center"/>
    </xf>
    <xf numFmtId="173" fontId="0" fillId="3" borderId="4" xfId="0" applyNumberFormat="1" applyFill="1" applyBorder="1" applyAlignment="1">
      <alignment horizontal="center" vertical="center" wrapText="1"/>
    </xf>
    <xf numFmtId="173" fontId="0" fillId="3" borderId="1" xfId="0" applyNumberFormat="1" applyFill="1" applyBorder="1" applyAlignment="1">
      <alignment horizontal="center" vertical="center" wrapText="1"/>
    </xf>
    <xf numFmtId="173" fontId="0" fillId="3" borderId="5" xfId="0" applyNumberFormat="1" applyFill="1" applyBorder="1" applyAlignment="1">
      <alignment horizontal="center" vertical="center" wrapText="1"/>
    </xf>
    <xf numFmtId="0" fontId="8" fillId="44" borderId="19" xfId="12" applyFill="1" applyBorder="1" applyAlignment="1">
      <alignment horizontal="left" vertical="center" wrapText="1" indent="2"/>
    </xf>
    <xf numFmtId="0" fontId="8" fillId="44" borderId="17" xfId="12" applyFill="1" applyBorder="1" applyAlignment="1">
      <alignment horizontal="left" vertical="center" wrapText="1" indent="2"/>
    </xf>
    <xf numFmtId="0" fontId="0" fillId="38" borderId="19" xfId="12" applyFont="1" applyFill="1" applyBorder="1" applyAlignment="1">
      <alignment horizontal="left" vertical="center" wrapText="1" indent="2"/>
    </xf>
    <xf numFmtId="0" fontId="0" fillId="38" borderId="17" xfId="12" applyFont="1" applyFill="1" applyBorder="1" applyAlignment="1">
      <alignment horizontal="left" vertical="center" wrapText="1" indent="2"/>
    </xf>
    <xf numFmtId="174" fontId="8" fillId="0" borderId="3" xfId="9" applyNumberFormat="1">
      <alignment horizontal="center" vertical="center"/>
    </xf>
    <xf numFmtId="0" fontId="8" fillId="4" borderId="19" xfId="12" applyFill="1" applyBorder="1" applyAlignment="1">
      <alignment horizontal="left" vertical="center" wrapText="1" indent="2"/>
    </xf>
    <xf numFmtId="0" fontId="8" fillId="4" borderId="17" xfId="12" applyFill="1" applyBorder="1" applyAlignment="1">
      <alignment horizontal="left" vertical="center" wrapText="1" indent="2"/>
    </xf>
    <xf numFmtId="0" fontId="4" fillId="43" borderId="20" xfId="12" applyFont="1" applyFill="1" applyBorder="1" applyAlignment="1">
      <alignment horizontal="left" vertical="center" wrapText="1" indent="2"/>
    </xf>
    <xf numFmtId="0" fontId="4" fillId="43" borderId="17" xfId="12" applyFont="1" applyFill="1" applyBorder="1" applyAlignment="1">
      <alignment horizontal="left" vertical="center" wrapText="1" indent="2"/>
    </xf>
    <xf numFmtId="0" fontId="4" fillId="43" borderId="18" xfId="12" applyFont="1" applyFill="1" applyBorder="1" applyAlignment="1">
      <alignment horizontal="left" vertical="center" wrapText="1" indent="2"/>
    </xf>
    <xf numFmtId="0" fontId="29" fillId="39" borderId="19" xfId="0" applyFont="1" applyFill="1" applyBorder="1" applyAlignment="1">
      <alignment horizontal="left" vertical="center" indent="2"/>
    </xf>
    <xf numFmtId="0" fontId="29" fillId="39" borderId="18" xfId="0" applyFont="1" applyFill="1" applyBorder="1" applyAlignment="1">
      <alignment horizontal="left" vertical="center" indent="2"/>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25">
    <dxf>
      <fill>
        <patternFill>
          <bgColor theme="7"/>
        </patternFill>
      </fill>
      <border>
        <left/>
        <right/>
      </border>
    </dxf>
    <dxf>
      <fill>
        <patternFill>
          <bgColor theme="0" tint="-0.34998626667073579"/>
        </patternFill>
      </fill>
      <border>
        <left/>
        <right/>
      </border>
    </dxf>
    <dxf>
      <fill>
        <patternFill>
          <bgColor rgb="FF0070C0"/>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border>
        <left/>
        <right/>
      </border>
    </dxf>
    <dxf>
      <fill>
        <patternFill>
          <bgColor rgb="FF0070C0"/>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border>
        <left/>
        <right/>
      </border>
    </dxf>
    <dxf>
      <fill>
        <patternFill>
          <bgColor rgb="FF0070C0"/>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border>
        <left/>
        <right/>
      </border>
    </dxf>
    <dxf>
      <fill>
        <patternFill>
          <bgColor rgb="FF0070C0"/>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secondRowStripe" dxfId="18"/>
      <tableStyleElement type="firstColumnStripe" dxfId="17"/>
      <tableStyleElement type="secondColumnStripe"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E9A3"/>
      <color rgb="FFD4BEE4"/>
      <color rgb="FFBDD7EE"/>
      <color rgb="FFA3C7E7"/>
      <color rgb="FFD0DFAF"/>
      <color rgb="FFFFDE75"/>
      <color rgb="FF95BEE3"/>
      <color rgb="FFFFD85D"/>
      <color rgb="FFF5B68B"/>
      <color rgb="FFF197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V56"/>
  <sheetViews>
    <sheetView showGridLines="0" tabSelected="1" showRuler="0" zoomScaleNormal="100" zoomScalePageLayoutView="70" workbookViewId="0">
      <pane ySplit="5" topLeftCell="A6" activePane="bottomLeft" state="frozen"/>
      <selection pane="bottomLeft" activeCell="Q15" sqref="Q15"/>
    </sheetView>
  </sheetViews>
  <sheetFormatPr baseColWidth="10" defaultColWidth="9.140625" defaultRowHeight="30" customHeight="1" x14ac:dyDescent="0.25"/>
  <cols>
    <col min="1" max="1" width="2.7109375" style="17" customWidth="1"/>
    <col min="2" max="2" width="52.140625" customWidth="1"/>
    <col min="3" max="3" width="19.42578125" customWidth="1"/>
    <col min="4" max="4" width="10.42578125" style="4" customWidth="1"/>
    <col min="5" max="5" width="10.42578125" customWidth="1"/>
    <col min="6" max="6" width="2.7109375" customWidth="1"/>
    <col min="7" max="7" width="5.85546875" hidden="1" customWidth="1"/>
    <col min="8" max="126" width="2.7109375" customWidth="1"/>
  </cols>
  <sheetData>
    <row r="1" spans="1:126" ht="30" customHeight="1" x14ac:dyDescent="0.45">
      <c r="A1" s="18" t="s">
        <v>0</v>
      </c>
      <c r="B1" s="60" t="s">
        <v>30</v>
      </c>
      <c r="C1" s="1"/>
      <c r="D1" s="3"/>
      <c r="E1" s="16"/>
      <c r="G1" s="1"/>
      <c r="H1" s="23"/>
    </row>
    <row r="2" spans="1:126" ht="30" customHeight="1" x14ac:dyDescent="0.3">
      <c r="A2" s="17" t="s">
        <v>1</v>
      </c>
      <c r="B2" s="20"/>
      <c r="C2" s="61" t="s">
        <v>22</v>
      </c>
      <c r="D2" s="70">
        <v>46062</v>
      </c>
      <c r="E2" s="70"/>
    </row>
    <row r="3" spans="1:126" ht="30" customHeight="1" x14ac:dyDescent="0.25">
      <c r="A3" s="18" t="s">
        <v>2</v>
      </c>
      <c r="B3" s="59" t="s">
        <v>18</v>
      </c>
      <c r="C3" s="61" t="s">
        <v>23</v>
      </c>
      <c r="D3" s="6">
        <v>1</v>
      </c>
      <c r="H3" s="63">
        <f>H4</f>
        <v>46062</v>
      </c>
      <c r="I3" s="64"/>
      <c r="J3" s="64"/>
      <c r="K3" s="64"/>
      <c r="L3" s="64"/>
      <c r="M3" s="64"/>
      <c r="N3" s="65"/>
      <c r="O3" s="63">
        <f>O4</f>
        <v>46069</v>
      </c>
      <c r="P3" s="64"/>
      <c r="Q3" s="64"/>
      <c r="R3" s="64"/>
      <c r="S3" s="64"/>
      <c r="T3" s="64"/>
      <c r="U3" s="65"/>
      <c r="V3" s="63">
        <f t="shared" ref="V3" si="0">V4</f>
        <v>46076</v>
      </c>
      <c r="W3" s="64"/>
      <c r="X3" s="64"/>
      <c r="Y3" s="64"/>
      <c r="Z3" s="64"/>
      <c r="AA3" s="64"/>
      <c r="AB3" s="65"/>
      <c r="AC3" s="63">
        <f t="shared" ref="AC3" si="1">AC4</f>
        <v>46083</v>
      </c>
      <c r="AD3" s="64"/>
      <c r="AE3" s="64"/>
      <c r="AF3" s="64"/>
      <c r="AG3" s="64"/>
      <c r="AH3" s="64"/>
      <c r="AI3" s="65"/>
      <c r="AJ3" s="63">
        <f t="shared" ref="AJ3" si="2">AJ4</f>
        <v>46090</v>
      </c>
      <c r="AK3" s="64"/>
      <c r="AL3" s="64"/>
      <c r="AM3" s="64"/>
      <c r="AN3" s="64"/>
      <c r="AO3" s="64"/>
      <c r="AP3" s="65"/>
      <c r="AQ3" s="63">
        <f t="shared" ref="AQ3" si="3">AQ4</f>
        <v>46097</v>
      </c>
      <c r="AR3" s="64"/>
      <c r="AS3" s="64"/>
      <c r="AT3" s="64"/>
      <c r="AU3" s="64"/>
      <c r="AV3" s="64"/>
      <c r="AW3" s="65"/>
      <c r="AX3" s="63">
        <f t="shared" ref="AX3" si="4">AX4</f>
        <v>46104</v>
      </c>
      <c r="AY3" s="64"/>
      <c r="AZ3" s="64"/>
      <c r="BA3" s="64"/>
      <c r="BB3" s="64"/>
      <c r="BC3" s="64"/>
      <c r="BD3" s="65"/>
      <c r="BE3" s="63">
        <f t="shared" ref="BE3" si="5">BE4</f>
        <v>46111</v>
      </c>
      <c r="BF3" s="64"/>
      <c r="BG3" s="64"/>
      <c r="BH3" s="64"/>
      <c r="BI3" s="64"/>
      <c r="BJ3" s="64"/>
      <c r="BK3" s="65"/>
      <c r="BL3" s="63">
        <f t="shared" ref="BL3" si="6">BL4</f>
        <v>46118</v>
      </c>
      <c r="BM3" s="64"/>
      <c r="BN3" s="64"/>
      <c r="BO3" s="64"/>
      <c r="BP3" s="64"/>
      <c r="BQ3" s="64"/>
      <c r="BR3" s="65"/>
      <c r="BS3" s="63">
        <f t="shared" ref="BS3" si="7">BS4</f>
        <v>46125</v>
      </c>
      <c r="BT3" s="64"/>
      <c r="BU3" s="64"/>
      <c r="BV3" s="64"/>
      <c r="BW3" s="64"/>
      <c r="BX3" s="64"/>
      <c r="BY3" s="65"/>
      <c r="BZ3" s="63">
        <f t="shared" ref="BZ3" si="8">BZ4</f>
        <v>46132</v>
      </c>
      <c r="CA3" s="64"/>
      <c r="CB3" s="64"/>
      <c r="CC3" s="64"/>
      <c r="CD3" s="64"/>
      <c r="CE3" s="64"/>
      <c r="CF3" s="65"/>
      <c r="CG3" s="63">
        <f t="shared" ref="CG3" si="9">CG4</f>
        <v>46139</v>
      </c>
      <c r="CH3" s="64"/>
      <c r="CI3" s="64"/>
      <c r="CJ3" s="64"/>
      <c r="CK3" s="64"/>
      <c r="CL3" s="64"/>
      <c r="CM3" s="65"/>
      <c r="CN3" s="63">
        <f t="shared" ref="CN3" si="10">CN4</f>
        <v>46146</v>
      </c>
      <c r="CO3" s="64"/>
      <c r="CP3" s="64"/>
      <c r="CQ3" s="64"/>
      <c r="CR3" s="64"/>
      <c r="CS3" s="64"/>
      <c r="CT3" s="65"/>
      <c r="CU3" s="63">
        <f t="shared" ref="CU3" si="11">CU4</f>
        <v>46153</v>
      </c>
      <c r="CV3" s="64"/>
      <c r="CW3" s="64"/>
      <c r="CX3" s="64"/>
      <c r="CY3" s="64"/>
      <c r="CZ3" s="64"/>
      <c r="DA3" s="65"/>
      <c r="DB3" s="63">
        <f t="shared" ref="DB3" si="12">DB4</f>
        <v>46160</v>
      </c>
      <c r="DC3" s="64"/>
      <c r="DD3" s="64"/>
      <c r="DE3" s="64"/>
      <c r="DF3" s="64"/>
      <c r="DG3" s="64"/>
      <c r="DH3" s="65"/>
      <c r="DI3" s="63">
        <f t="shared" ref="DI3" si="13">DI4</f>
        <v>46167</v>
      </c>
      <c r="DJ3" s="64"/>
      <c r="DK3" s="64"/>
      <c r="DL3" s="64"/>
      <c r="DM3" s="64"/>
      <c r="DN3" s="64"/>
      <c r="DO3" s="65"/>
      <c r="DP3" s="63">
        <f t="shared" ref="DP3" si="14">DP4</f>
        <v>46174</v>
      </c>
      <c r="DQ3" s="64"/>
      <c r="DR3" s="64"/>
      <c r="DS3" s="64"/>
      <c r="DT3" s="64"/>
      <c r="DU3" s="64"/>
      <c r="DV3" s="65"/>
    </row>
    <row r="4" spans="1:126" ht="15" customHeight="1" x14ac:dyDescent="0.25">
      <c r="A4" s="18" t="s">
        <v>3</v>
      </c>
      <c r="B4" s="22"/>
      <c r="C4" s="22"/>
      <c r="D4" s="22"/>
      <c r="E4" s="22"/>
      <c r="F4" s="22"/>
      <c r="H4" s="32">
        <f>Projektanfang-WEEKDAY(Projektanfang,1)+2+7*(Anzeigewoche-1)</f>
        <v>46062</v>
      </c>
      <c r="I4" s="32">
        <f>H4+1</f>
        <v>46063</v>
      </c>
      <c r="J4" s="32">
        <f t="shared" ref="J4:N4" si="15">I4+1</f>
        <v>46064</v>
      </c>
      <c r="K4" s="32">
        <f t="shared" si="15"/>
        <v>46065</v>
      </c>
      <c r="L4" s="32">
        <f t="shared" si="15"/>
        <v>46066</v>
      </c>
      <c r="M4" s="32">
        <f t="shared" si="15"/>
        <v>46067</v>
      </c>
      <c r="N4" s="32">
        <f t="shared" si="15"/>
        <v>46068</v>
      </c>
      <c r="O4" s="27">
        <f>N4+1</f>
        <v>46069</v>
      </c>
      <c r="P4" s="28">
        <f>O4+1</f>
        <v>46070</v>
      </c>
      <c r="Q4" s="28">
        <f t="shared" ref="Q4:AW4" si="16">P4+1</f>
        <v>46071</v>
      </c>
      <c r="R4" s="28">
        <f t="shared" si="16"/>
        <v>46072</v>
      </c>
      <c r="S4" s="28">
        <f t="shared" si="16"/>
        <v>46073</v>
      </c>
      <c r="T4" s="28">
        <f t="shared" si="16"/>
        <v>46074</v>
      </c>
      <c r="U4" s="29">
        <f t="shared" si="16"/>
        <v>46075</v>
      </c>
      <c r="V4" s="27">
        <f>U4+1</f>
        <v>46076</v>
      </c>
      <c r="W4" s="28">
        <f>V4+1</f>
        <v>46077</v>
      </c>
      <c r="X4" s="28">
        <f t="shared" si="16"/>
        <v>46078</v>
      </c>
      <c r="Y4" s="28">
        <f t="shared" si="16"/>
        <v>46079</v>
      </c>
      <c r="Z4" s="28">
        <f t="shared" si="16"/>
        <v>46080</v>
      </c>
      <c r="AA4" s="28">
        <f t="shared" si="16"/>
        <v>46081</v>
      </c>
      <c r="AB4" s="29">
        <f t="shared" si="16"/>
        <v>46082</v>
      </c>
      <c r="AC4" s="27">
        <f>AB4+1</f>
        <v>46083</v>
      </c>
      <c r="AD4" s="28">
        <f>AC4+1</f>
        <v>46084</v>
      </c>
      <c r="AE4" s="28">
        <f t="shared" si="16"/>
        <v>46085</v>
      </c>
      <c r="AF4" s="28">
        <f t="shared" si="16"/>
        <v>46086</v>
      </c>
      <c r="AG4" s="28">
        <f t="shared" si="16"/>
        <v>46087</v>
      </c>
      <c r="AH4" s="28">
        <f t="shared" si="16"/>
        <v>46088</v>
      </c>
      <c r="AI4" s="29">
        <f t="shared" si="16"/>
        <v>46089</v>
      </c>
      <c r="AJ4" s="27">
        <f>AI4+1</f>
        <v>46090</v>
      </c>
      <c r="AK4" s="28">
        <f>AJ4+1</f>
        <v>46091</v>
      </c>
      <c r="AL4" s="28">
        <f t="shared" si="16"/>
        <v>46092</v>
      </c>
      <c r="AM4" s="28">
        <f t="shared" si="16"/>
        <v>46093</v>
      </c>
      <c r="AN4" s="28">
        <f t="shared" si="16"/>
        <v>46094</v>
      </c>
      <c r="AO4" s="28">
        <f t="shared" si="16"/>
        <v>46095</v>
      </c>
      <c r="AP4" s="29">
        <f t="shared" si="16"/>
        <v>46096</v>
      </c>
      <c r="AQ4" s="27">
        <f>AP4+1</f>
        <v>46097</v>
      </c>
      <c r="AR4" s="28">
        <f>AQ4+1</f>
        <v>46098</v>
      </c>
      <c r="AS4" s="28">
        <f t="shared" si="16"/>
        <v>46099</v>
      </c>
      <c r="AT4" s="28">
        <f t="shared" si="16"/>
        <v>46100</v>
      </c>
      <c r="AU4" s="28">
        <f t="shared" si="16"/>
        <v>46101</v>
      </c>
      <c r="AV4" s="28">
        <f t="shared" si="16"/>
        <v>46102</v>
      </c>
      <c r="AW4" s="29">
        <f t="shared" si="16"/>
        <v>46103</v>
      </c>
      <c r="AX4" s="27">
        <f>AW4+1</f>
        <v>46104</v>
      </c>
      <c r="AY4" s="28">
        <f>AX4+1</f>
        <v>46105</v>
      </c>
      <c r="AZ4" s="28">
        <f t="shared" ref="AZ4:BD4" si="17">AY4+1</f>
        <v>46106</v>
      </c>
      <c r="BA4" s="28">
        <f t="shared" si="17"/>
        <v>46107</v>
      </c>
      <c r="BB4" s="28">
        <f t="shared" si="17"/>
        <v>46108</v>
      </c>
      <c r="BC4" s="28">
        <f t="shared" si="17"/>
        <v>46109</v>
      </c>
      <c r="BD4" s="29">
        <f t="shared" si="17"/>
        <v>46110</v>
      </c>
      <c r="BE4" s="27">
        <f>BD4+1</f>
        <v>46111</v>
      </c>
      <c r="BF4" s="28">
        <f>BE4+1</f>
        <v>46112</v>
      </c>
      <c r="BG4" s="28">
        <f t="shared" ref="BG4:BK4" si="18">BF4+1</f>
        <v>46113</v>
      </c>
      <c r="BH4" s="28">
        <f t="shared" si="18"/>
        <v>46114</v>
      </c>
      <c r="BI4" s="28">
        <f t="shared" si="18"/>
        <v>46115</v>
      </c>
      <c r="BJ4" s="28">
        <f t="shared" si="18"/>
        <v>46116</v>
      </c>
      <c r="BK4" s="29">
        <f t="shared" si="18"/>
        <v>46117</v>
      </c>
      <c r="BL4" s="27">
        <f>BK4+1</f>
        <v>46118</v>
      </c>
      <c r="BM4" s="28">
        <f>BL4+1</f>
        <v>46119</v>
      </c>
      <c r="BN4" s="28">
        <f t="shared" ref="BN4" si="19">BM4+1</f>
        <v>46120</v>
      </c>
      <c r="BO4" s="28">
        <f t="shared" ref="BO4" si="20">BN4+1</f>
        <v>46121</v>
      </c>
      <c r="BP4" s="28">
        <f t="shared" ref="BP4" si="21">BO4+1</f>
        <v>46122</v>
      </c>
      <c r="BQ4" s="28">
        <f t="shared" ref="BQ4" si="22">BP4+1</f>
        <v>46123</v>
      </c>
      <c r="BR4" s="29">
        <f t="shared" ref="BR4" si="23">BQ4+1</f>
        <v>46124</v>
      </c>
      <c r="BS4" s="27">
        <f>BR4+1</f>
        <v>46125</v>
      </c>
      <c r="BT4" s="28">
        <f>BS4+1</f>
        <v>46126</v>
      </c>
      <c r="BU4" s="28">
        <f t="shared" ref="BU4" si="24">BT4+1</f>
        <v>46127</v>
      </c>
      <c r="BV4" s="28">
        <f t="shared" ref="BV4" si="25">BU4+1</f>
        <v>46128</v>
      </c>
      <c r="BW4" s="28">
        <f t="shared" ref="BW4" si="26">BV4+1</f>
        <v>46129</v>
      </c>
      <c r="BX4" s="28">
        <f t="shared" ref="BX4" si="27">BW4+1</f>
        <v>46130</v>
      </c>
      <c r="BY4" s="29">
        <f t="shared" ref="BY4" si="28">BX4+1</f>
        <v>46131</v>
      </c>
      <c r="BZ4" s="27">
        <f>BY4+1</f>
        <v>46132</v>
      </c>
      <c r="CA4" s="28">
        <f>BZ4+1</f>
        <v>46133</v>
      </c>
      <c r="CB4" s="28">
        <f t="shared" ref="CB4" si="29">CA4+1</f>
        <v>46134</v>
      </c>
      <c r="CC4" s="28">
        <f t="shared" ref="CC4" si="30">CB4+1</f>
        <v>46135</v>
      </c>
      <c r="CD4" s="28">
        <f t="shared" ref="CD4" si="31">CC4+1</f>
        <v>46136</v>
      </c>
      <c r="CE4" s="28">
        <f t="shared" ref="CE4" si="32">CD4+1</f>
        <v>46137</v>
      </c>
      <c r="CF4" s="29">
        <f t="shared" ref="CF4" si="33">CE4+1</f>
        <v>46138</v>
      </c>
      <c r="CG4" s="27">
        <f>CF4+1</f>
        <v>46139</v>
      </c>
      <c r="CH4" s="28">
        <f>CG4+1</f>
        <v>46140</v>
      </c>
      <c r="CI4" s="28">
        <f t="shared" ref="CI4" si="34">CH4+1</f>
        <v>46141</v>
      </c>
      <c r="CJ4" s="28">
        <f t="shared" ref="CJ4" si="35">CI4+1</f>
        <v>46142</v>
      </c>
      <c r="CK4" s="28">
        <f t="shared" ref="CK4" si="36">CJ4+1</f>
        <v>46143</v>
      </c>
      <c r="CL4" s="28">
        <f t="shared" ref="CL4" si="37">CK4+1</f>
        <v>46144</v>
      </c>
      <c r="CM4" s="29">
        <f t="shared" ref="CM4" si="38">CL4+1</f>
        <v>46145</v>
      </c>
      <c r="CN4" s="27">
        <f>CM4+1</f>
        <v>46146</v>
      </c>
      <c r="CO4" s="28">
        <f>CN4+1</f>
        <v>46147</v>
      </c>
      <c r="CP4" s="28">
        <f t="shared" ref="CP4" si="39">CO4+1</f>
        <v>46148</v>
      </c>
      <c r="CQ4" s="28">
        <f t="shared" ref="CQ4" si="40">CP4+1</f>
        <v>46149</v>
      </c>
      <c r="CR4" s="28">
        <f t="shared" ref="CR4" si="41">CQ4+1</f>
        <v>46150</v>
      </c>
      <c r="CS4" s="28">
        <f t="shared" ref="CS4" si="42">CR4+1</f>
        <v>46151</v>
      </c>
      <c r="CT4" s="29">
        <f t="shared" ref="CT4" si="43">CS4+1</f>
        <v>46152</v>
      </c>
      <c r="CU4" s="27">
        <f>CT4+1</f>
        <v>46153</v>
      </c>
      <c r="CV4" s="28">
        <f>CU4+1</f>
        <v>46154</v>
      </c>
      <c r="CW4" s="28">
        <f t="shared" ref="CW4" si="44">CV4+1</f>
        <v>46155</v>
      </c>
      <c r="CX4" s="28">
        <f t="shared" ref="CX4" si="45">CW4+1</f>
        <v>46156</v>
      </c>
      <c r="CY4" s="28">
        <f t="shared" ref="CY4" si="46">CX4+1</f>
        <v>46157</v>
      </c>
      <c r="CZ4" s="28">
        <f t="shared" ref="CZ4" si="47">CY4+1</f>
        <v>46158</v>
      </c>
      <c r="DA4" s="29">
        <f t="shared" ref="DA4" si="48">CZ4+1</f>
        <v>46159</v>
      </c>
      <c r="DB4" s="27">
        <f>DA4+1</f>
        <v>46160</v>
      </c>
      <c r="DC4" s="28">
        <f>DB4+1</f>
        <v>46161</v>
      </c>
      <c r="DD4" s="28">
        <f t="shared" ref="DD4" si="49">DC4+1</f>
        <v>46162</v>
      </c>
      <c r="DE4" s="28">
        <f t="shared" ref="DE4" si="50">DD4+1</f>
        <v>46163</v>
      </c>
      <c r="DF4" s="28">
        <f t="shared" ref="DF4" si="51">DE4+1</f>
        <v>46164</v>
      </c>
      <c r="DG4" s="28">
        <f t="shared" ref="DG4" si="52">DF4+1</f>
        <v>46165</v>
      </c>
      <c r="DH4" s="29">
        <f t="shared" ref="DH4" si="53">DG4+1</f>
        <v>46166</v>
      </c>
      <c r="DI4" s="27">
        <f>DH4+1</f>
        <v>46167</v>
      </c>
      <c r="DJ4" s="28">
        <f>DI4+1</f>
        <v>46168</v>
      </c>
      <c r="DK4" s="28">
        <f t="shared" ref="DK4" si="54">DJ4+1</f>
        <v>46169</v>
      </c>
      <c r="DL4" s="28">
        <f t="shared" ref="DL4" si="55">DK4+1</f>
        <v>46170</v>
      </c>
      <c r="DM4" s="28">
        <f t="shared" ref="DM4" si="56">DL4+1</f>
        <v>46171</v>
      </c>
      <c r="DN4" s="28">
        <f t="shared" ref="DN4" si="57">DM4+1</f>
        <v>46172</v>
      </c>
      <c r="DO4" s="29">
        <f t="shared" ref="DO4" si="58">DN4+1</f>
        <v>46173</v>
      </c>
      <c r="DP4" s="27">
        <f>DO4+1</f>
        <v>46174</v>
      </c>
      <c r="DQ4" s="28">
        <f>DP4+1</f>
        <v>46175</v>
      </c>
      <c r="DR4" s="28">
        <f t="shared" ref="DR4" si="59">DQ4+1</f>
        <v>46176</v>
      </c>
      <c r="DS4" s="28">
        <f t="shared" ref="DS4" si="60">DR4+1</f>
        <v>46177</v>
      </c>
      <c r="DT4" s="28">
        <f t="shared" ref="DT4" si="61">DS4+1</f>
        <v>46178</v>
      </c>
      <c r="DU4" s="28">
        <f t="shared" ref="DU4" si="62">DT4+1</f>
        <v>46179</v>
      </c>
      <c r="DV4" s="29">
        <f t="shared" ref="DV4" si="63">DU4+1</f>
        <v>46180</v>
      </c>
    </row>
    <row r="5" spans="1:126" ht="27.6" customHeight="1" thickBot="1" x14ac:dyDescent="0.3">
      <c r="A5" s="18" t="s">
        <v>4</v>
      </c>
      <c r="B5" s="7" t="s">
        <v>5</v>
      </c>
      <c r="C5" s="8" t="s">
        <v>6</v>
      </c>
      <c r="D5" s="8" t="s">
        <v>7</v>
      </c>
      <c r="E5" s="30" t="s">
        <v>8</v>
      </c>
      <c r="F5" s="8"/>
      <c r="G5" s="8" t="s">
        <v>9</v>
      </c>
      <c r="H5" s="31" t="str">
        <f>LEFT(TEXT(H4,"TTTT;@"),1)</f>
        <v>M</v>
      </c>
      <c r="I5" s="31" t="str">
        <f t="shared" ref="I5:BT5" si="64">LEFT(TEXT(I4,"TTTT;@"),1)</f>
        <v>D</v>
      </c>
      <c r="J5" s="31" t="str">
        <f t="shared" si="64"/>
        <v>M</v>
      </c>
      <c r="K5" s="31" t="str">
        <f t="shared" si="64"/>
        <v>D</v>
      </c>
      <c r="L5" s="31" t="str">
        <f t="shared" si="64"/>
        <v>F</v>
      </c>
      <c r="M5" s="31" t="str">
        <f t="shared" si="64"/>
        <v>S</v>
      </c>
      <c r="N5" s="31" t="str">
        <f t="shared" si="64"/>
        <v>S</v>
      </c>
      <c r="O5" s="31" t="str">
        <f t="shared" si="64"/>
        <v>M</v>
      </c>
      <c r="P5" s="31" t="str">
        <f t="shared" si="64"/>
        <v>D</v>
      </c>
      <c r="Q5" s="31" t="str">
        <f t="shared" si="64"/>
        <v>M</v>
      </c>
      <c r="R5" s="31" t="str">
        <f t="shared" si="64"/>
        <v>D</v>
      </c>
      <c r="S5" s="31" t="str">
        <f t="shared" si="64"/>
        <v>F</v>
      </c>
      <c r="T5" s="31" t="str">
        <f t="shared" si="64"/>
        <v>S</v>
      </c>
      <c r="U5" s="31" t="str">
        <f t="shared" si="64"/>
        <v>S</v>
      </c>
      <c r="V5" s="31" t="str">
        <f t="shared" si="64"/>
        <v>M</v>
      </c>
      <c r="W5" s="31" t="str">
        <f t="shared" si="64"/>
        <v>D</v>
      </c>
      <c r="X5" s="31" t="str">
        <f t="shared" si="64"/>
        <v>M</v>
      </c>
      <c r="Y5" s="31" t="str">
        <f t="shared" si="64"/>
        <v>D</v>
      </c>
      <c r="Z5" s="31" t="str">
        <f t="shared" si="64"/>
        <v>F</v>
      </c>
      <c r="AA5" s="31" t="str">
        <f t="shared" si="64"/>
        <v>S</v>
      </c>
      <c r="AB5" s="31" t="str">
        <f t="shared" si="64"/>
        <v>S</v>
      </c>
      <c r="AC5" s="31" t="str">
        <f t="shared" si="64"/>
        <v>M</v>
      </c>
      <c r="AD5" s="31" t="str">
        <f t="shared" si="64"/>
        <v>D</v>
      </c>
      <c r="AE5" s="31" t="str">
        <f t="shared" si="64"/>
        <v>M</v>
      </c>
      <c r="AF5" s="31" t="str">
        <f t="shared" si="64"/>
        <v>D</v>
      </c>
      <c r="AG5" s="31" t="str">
        <f t="shared" si="64"/>
        <v>F</v>
      </c>
      <c r="AH5" s="31" t="str">
        <f t="shared" si="64"/>
        <v>S</v>
      </c>
      <c r="AI5" s="31" t="str">
        <f t="shared" si="64"/>
        <v>S</v>
      </c>
      <c r="AJ5" s="31" t="str">
        <f t="shared" si="64"/>
        <v>M</v>
      </c>
      <c r="AK5" s="31" t="str">
        <f t="shared" si="64"/>
        <v>D</v>
      </c>
      <c r="AL5" s="31" t="str">
        <f t="shared" si="64"/>
        <v>M</v>
      </c>
      <c r="AM5" s="31" t="str">
        <f t="shared" si="64"/>
        <v>D</v>
      </c>
      <c r="AN5" s="31" t="str">
        <f t="shared" si="64"/>
        <v>F</v>
      </c>
      <c r="AO5" s="31" t="str">
        <f t="shared" si="64"/>
        <v>S</v>
      </c>
      <c r="AP5" s="31" t="str">
        <f t="shared" si="64"/>
        <v>S</v>
      </c>
      <c r="AQ5" s="31" t="str">
        <f t="shared" si="64"/>
        <v>M</v>
      </c>
      <c r="AR5" s="31" t="str">
        <f t="shared" si="64"/>
        <v>D</v>
      </c>
      <c r="AS5" s="31" t="str">
        <f t="shared" si="64"/>
        <v>M</v>
      </c>
      <c r="AT5" s="31" t="str">
        <f t="shared" si="64"/>
        <v>D</v>
      </c>
      <c r="AU5" s="31" t="str">
        <f t="shared" si="64"/>
        <v>F</v>
      </c>
      <c r="AV5" s="31" t="str">
        <f t="shared" si="64"/>
        <v>S</v>
      </c>
      <c r="AW5" s="31" t="str">
        <f t="shared" si="64"/>
        <v>S</v>
      </c>
      <c r="AX5" s="31" t="str">
        <f t="shared" si="64"/>
        <v>M</v>
      </c>
      <c r="AY5" s="31" t="str">
        <f t="shared" si="64"/>
        <v>D</v>
      </c>
      <c r="AZ5" s="31" t="str">
        <f t="shared" si="64"/>
        <v>M</v>
      </c>
      <c r="BA5" s="31" t="str">
        <f t="shared" si="64"/>
        <v>D</v>
      </c>
      <c r="BB5" s="31" t="str">
        <f t="shared" si="64"/>
        <v>F</v>
      </c>
      <c r="BC5" s="31" t="str">
        <f t="shared" si="64"/>
        <v>S</v>
      </c>
      <c r="BD5" s="31" t="str">
        <f t="shared" si="64"/>
        <v>S</v>
      </c>
      <c r="BE5" s="31" t="str">
        <f t="shared" si="64"/>
        <v>M</v>
      </c>
      <c r="BF5" s="31" t="str">
        <f t="shared" si="64"/>
        <v>D</v>
      </c>
      <c r="BG5" s="31" t="str">
        <f t="shared" si="64"/>
        <v>M</v>
      </c>
      <c r="BH5" s="31" t="str">
        <f t="shared" si="64"/>
        <v>D</v>
      </c>
      <c r="BI5" s="31" t="str">
        <f t="shared" si="64"/>
        <v>F</v>
      </c>
      <c r="BJ5" s="31" t="str">
        <f t="shared" si="64"/>
        <v>S</v>
      </c>
      <c r="BK5" s="31" t="str">
        <f t="shared" si="64"/>
        <v>S</v>
      </c>
      <c r="BL5" s="31" t="str">
        <f t="shared" si="64"/>
        <v>M</v>
      </c>
      <c r="BM5" s="31" t="str">
        <f t="shared" si="64"/>
        <v>D</v>
      </c>
      <c r="BN5" s="31" t="str">
        <f t="shared" si="64"/>
        <v>M</v>
      </c>
      <c r="BO5" s="31" t="str">
        <f t="shared" si="64"/>
        <v>D</v>
      </c>
      <c r="BP5" s="31" t="str">
        <f t="shared" si="64"/>
        <v>F</v>
      </c>
      <c r="BQ5" s="31" t="str">
        <f t="shared" si="64"/>
        <v>S</v>
      </c>
      <c r="BR5" s="31" t="str">
        <f t="shared" si="64"/>
        <v>S</v>
      </c>
      <c r="BS5" s="31" t="str">
        <f t="shared" si="64"/>
        <v>M</v>
      </c>
      <c r="BT5" s="31" t="str">
        <f t="shared" si="64"/>
        <v>D</v>
      </c>
      <c r="BU5" s="31" t="str">
        <f t="shared" ref="BU5:DA5" si="65">LEFT(TEXT(BU4,"TTTT;@"),1)</f>
        <v>M</v>
      </c>
      <c r="BV5" s="31" t="str">
        <f t="shared" si="65"/>
        <v>D</v>
      </c>
      <c r="BW5" s="31" t="str">
        <f t="shared" si="65"/>
        <v>F</v>
      </c>
      <c r="BX5" s="31" t="str">
        <f t="shared" si="65"/>
        <v>S</v>
      </c>
      <c r="BY5" s="31" t="str">
        <f t="shared" si="65"/>
        <v>S</v>
      </c>
      <c r="BZ5" s="31" t="str">
        <f t="shared" si="65"/>
        <v>M</v>
      </c>
      <c r="CA5" s="31" t="str">
        <f t="shared" si="65"/>
        <v>D</v>
      </c>
      <c r="CB5" s="31" t="str">
        <f t="shared" si="65"/>
        <v>M</v>
      </c>
      <c r="CC5" s="31" t="str">
        <f t="shared" si="65"/>
        <v>D</v>
      </c>
      <c r="CD5" s="31" t="str">
        <f t="shared" si="65"/>
        <v>F</v>
      </c>
      <c r="CE5" s="31" t="str">
        <f t="shared" si="65"/>
        <v>S</v>
      </c>
      <c r="CF5" s="31" t="str">
        <f t="shared" si="65"/>
        <v>S</v>
      </c>
      <c r="CG5" s="31" t="str">
        <f t="shared" si="65"/>
        <v>M</v>
      </c>
      <c r="CH5" s="31" t="str">
        <f t="shared" si="65"/>
        <v>D</v>
      </c>
      <c r="CI5" s="31" t="str">
        <f t="shared" si="65"/>
        <v>M</v>
      </c>
      <c r="CJ5" s="31" t="str">
        <f t="shared" si="65"/>
        <v>D</v>
      </c>
      <c r="CK5" s="31" t="str">
        <f t="shared" si="65"/>
        <v>F</v>
      </c>
      <c r="CL5" s="31" t="str">
        <f t="shared" si="65"/>
        <v>S</v>
      </c>
      <c r="CM5" s="31" t="str">
        <f t="shared" si="65"/>
        <v>S</v>
      </c>
      <c r="CN5" s="31" t="str">
        <f t="shared" si="65"/>
        <v>M</v>
      </c>
      <c r="CO5" s="31" t="str">
        <f t="shared" si="65"/>
        <v>D</v>
      </c>
      <c r="CP5" s="31" t="str">
        <f t="shared" si="65"/>
        <v>M</v>
      </c>
      <c r="CQ5" s="31" t="str">
        <f t="shared" si="65"/>
        <v>D</v>
      </c>
      <c r="CR5" s="31" t="str">
        <f t="shared" si="65"/>
        <v>F</v>
      </c>
      <c r="CS5" s="31" t="str">
        <f t="shared" si="65"/>
        <v>S</v>
      </c>
      <c r="CT5" s="31" t="str">
        <f t="shared" si="65"/>
        <v>S</v>
      </c>
      <c r="CU5" s="31" t="str">
        <f t="shared" si="65"/>
        <v>M</v>
      </c>
      <c r="CV5" s="31" t="str">
        <f t="shared" si="65"/>
        <v>D</v>
      </c>
      <c r="CW5" s="31" t="str">
        <f t="shared" si="65"/>
        <v>M</v>
      </c>
      <c r="CX5" s="31" t="str">
        <f t="shared" si="65"/>
        <v>D</v>
      </c>
      <c r="CY5" s="31" t="str">
        <f t="shared" si="65"/>
        <v>F</v>
      </c>
      <c r="CZ5" s="31" t="str">
        <f t="shared" si="65"/>
        <v>S</v>
      </c>
      <c r="DA5" s="31" t="str">
        <f t="shared" si="65"/>
        <v>S</v>
      </c>
      <c r="DB5" s="31" t="str">
        <f t="shared" ref="DB5:DV5" si="66">LEFT(TEXT(DB4,"TTTT;@"),1)</f>
        <v>M</v>
      </c>
      <c r="DC5" s="31" t="str">
        <f t="shared" si="66"/>
        <v>D</v>
      </c>
      <c r="DD5" s="31" t="str">
        <f t="shared" si="66"/>
        <v>M</v>
      </c>
      <c r="DE5" s="31" t="str">
        <f t="shared" si="66"/>
        <v>D</v>
      </c>
      <c r="DF5" s="31" t="str">
        <f t="shared" si="66"/>
        <v>F</v>
      </c>
      <c r="DG5" s="31" t="str">
        <f t="shared" si="66"/>
        <v>S</v>
      </c>
      <c r="DH5" s="31" t="str">
        <f t="shared" si="66"/>
        <v>S</v>
      </c>
      <c r="DI5" s="31" t="str">
        <f t="shared" si="66"/>
        <v>M</v>
      </c>
      <c r="DJ5" s="31" t="str">
        <f t="shared" si="66"/>
        <v>D</v>
      </c>
      <c r="DK5" s="31" t="str">
        <f t="shared" si="66"/>
        <v>M</v>
      </c>
      <c r="DL5" s="31" t="str">
        <f t="shared" si="66"/>
        <v>D</v>
      </c>
      <c r="DM5" s="31" t="str">
        <f t="shared" si="66"/>
        <v>F</v>
      </c>
      <c r="DN5" s="31" t="str">
        <f t="shared" si="66"/>
        <v>S</v>
      </c>
      <c r="DO5" s="31" t="str">
        <f t="shared" si="66"/>
        <v>S</v>
      </c>
      <c r="DP5" s="31" t="str">
        <f t="shared" si="66"/>
        <v>M</v>
      </c>
      <c r="DQ5" s="31" t="str">
        <f t="shared" si="66"/>
        <v>D</v>
      </c>
      <c r="DR5" s="31" t="str">
        <f t="shared" si="66"/>
        <v>M</v>
      </c>
      <c r="DS5" s="31" t="str">
        <f t="shared" si="66"/>
        <v>D</v>
      </c>
      <c r="DT5" s="31" t="str">
        <f t="shared" si="66"/>
        <v>F</v>
      </c>
      <c r="DU5" s="31" t="str">
        <f t="shared" si="66"/>
        <v>S</v>
      </c>
      <c r="DV5" s="31" t="str">
        <f t="shared" si="66"/>
        <v>S</v>
      </c>
    </row>
    <row r="6" spans="1:126" ht="0.75" customHeight="1" thickBot="1" x14ac:dyDescent="0.3">
      <c r="A6" s="17" t="s">
        <v>10</v>
      </c>
      <c r="D6" t="s">
        <v>25</v>
      </c>
      <c r="E6" t="s">
        <v>26</v>
      </c>
      <c r="G6" t="e">
        <f>IF(OR(ISBLANK(task_start),ISBLANK(task_end)),"",task_end-task_start+1)</f>
        <v>#VALUE!</v>
      </c>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row>
    <row r="7" spans="1:126" s="2" customFormat="1" ht="27.6" customHeight="1" thickBot="1" x14ac:dyDescent="0.3">
      <c r="A7" s="18" t="s">
        <v>11</v>
      </c>
      <c r="B7" s="53" t="s">
        <v>19</v>
      </c>
      <c r="C7" s="34"/>
      <c r="D7" s="34"/>
      <c r="E7" s="34"/>
      <c r="F7" s="10"/>
      <c r="G7" s="10" t="str">
        <f t="shared" ref="G7:G54" si="67">IF(OR(ISBLANK(task_start),ISBLANK(task_end)),"",task_end-task_start+1)</f>
        <v/>
      </c>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row>
    <row r="8" spans="1:126" s="2" customFormat="1" ht="15.75" thickBot="1" x14ac:dyDescent="0.3">
      <c r="A8" s="18"/>
      <c r="B8" s="68" t="s">
        <v>32</v>
      </c>
      <c r="C8" s="35" t="s">
        <v>25</v>
      </c>
      <c r="D8" s="33">
        <v>46062</v>
      </c>
      <c r="E8" s="33">
        <v>46075</v>
      </c>
      <c r="F8" s="10"/>
      <c r="G8" s="10">
        <f t="shared" si="67"/>
        <v>14</v>
      </c>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row>
    <row r="9" spans="1:126" s="2" customFormat="1" ht="15.75" thickBot="1" x14ac:dyDescent="0.3">
      <c r="A9" s="18"/>
      <c r="B9" s="69"/>
      <c r="C9" s="35" t="s">
        <v>26</v>
      </c>
      <c r="D9" s="33"/>
      <c r="E9" s="33"/>
      <c r="F9" s="10"/>
      <c r="G9" s="10" t="str">
        <f t="shared" si="67"/>
        <v/>
      </c>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row>
    <row r="10" spans="1:126" s="2" customFormat="1" ht="15" customHeight="1" thickBot="1" x14ac:dyDescent="0.3">
      <c r="A10" s="18" t="s">
        <v>12</v>
      </c>
      <c r="B10" s="68" t="s">
        <v>45</v>
      </c>
      <c r="C10" s="35" t="s">
        <v>25</v>
      </c>
      <c r="D10" s="33">
        <v>46062</v>
      </c>
      <c r="E10" s="33">
        <v>46075</v>
      </c>
      <c r="F10" s="10"/>
      <c r="G10" s="10">
        <f t="shared" si="67"/>
        <v>14</v>
      </c>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row>
    <row r="11" spans="1:126" s="2" customFormat="1" ht="15" customHeight="1" thickBot="1" x14ac:dyDescent="0.3">
      <c r="A11" s="18"/>
      <c r="B11" s="69"/>
      <c r="C11" s="35" t="s">
        <v>26</v>
      </c>
      <c r="D11" s="33"/>
      <c r="E11" s="33"/>
      <c r="F11" s="10"/>
      <c r="G11" s="10" t="str">
        <f t="shared" si="67"/>
        <v/>
      </c>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row>
    <row r="12" spans="1:126" s="2" customFormat="1" ht="15" customHeight="1" thickBot="1" x14ac:dyDescent="0.3">
      <c r="A12" s="18" t="s">
        <v>12</v>
      </c>
      <c r="B12" s="68" t="s">
        <v>24</v>
      </c>
      <c r="C12" s="35" t="s">
        <v>25</v>
      </c>
      <c r="D12" s="33">
        <v>46062</v>
      </c>
      <c r="E12" s="33">
        <v>46075</v>
      </c>
      <c r="F12" s="10"/>
      <c r="G12" s="10">
        <f t="shared" si="67"/>
        <v>14</v>
      </c>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row>
    <row r="13" spans="1:126" s="2" customFormat="1" ht="15" customHeight="1" thickBot="1" x14ac:dyDescent="0.3">
      <c r="A13" s="18"/>
      <c r="B13" s="69"/>
      <c r="C13" s="35" t="s">
        <v>26</v>
      </c>
      <c r="D13" s="33"/>
      <c r="E13" s="33"/>
      <c r="F13" s="10"/>
      <c r="G13" s="10" t="str">
        <f t="shared" si="67"/>
        <v/>
      </c>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row>
    <row r="14" spans="1:126" s="2" customFormat="1" ht="30" customHeight="1" thickBot="1" x14ac:dyDescent="0.3">
      <c r="A14" s="18" t="s">
        <v>13</v>
      </c>
      <c r="B14" s="54" t="s">
        <v>43</v>
      </c>
      <c r="C14" s="36"/>
      <c r="D14" s="37"/>
      <c r="E14" s="38"/>
      <c r="F14" s="10"/>
      <c r="G14" s="10"/>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row>
    <row r="15" spans="1:126" s="2" customFormat="1" ht="15" customHeight="1" thickBot="1" x14ac:dyDescent="0.3">
      <c r="A15" s="18"/>
      <c r="B15" s="66" t="s">
        <v>33</v>
      </c>
      <c r="C15" s="58" t="s">
        <v>25</v>
      </c>
      <c r="D15" s="39">
        <v>46076</v>
      </c>
      <c r="E15" s="39">
        <v>46103</v>
      </c>
      <c r="F15" s="10"/>
      <c r="G15" s="10">
        <f t="shared" si="67"/>
        <v>28</v>
      </c>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row>
    <row r="16" spans="1:126" s="2" customFormat="1" ht="15" customHeight="1" thickBot="1" x14ac:dyDescent="0.3">
      <c r="A16" s="18"/>
      <c r="B16" s="67"/>
      <c r="C16" s="58" t="s">
        <v>26</v>
      </c>
      <c r="D16" s="39"/>
      <c r="E16" s="39"/>
      <c r="F16" s="10"/>
      <c r="G16" s="10" t="str">
        <f t="shared" si="67"/>
        <v/>
      </c>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row>
    <row r="17" spans="1:126" s="2" customFormat="1" ht="15" customHeight="1" thickBot="1" x14ac:dyDescent="0.3">
      <c r="A17" s="18"/>
      <c r="B17" s="66" t="s">
        <v>34</v>
      </c>
      <c r="C17" s="58" t="s">
        <v>25</v>
      </c>
      <c r="D17" s="39">
        <v>46076</v>
      </c>
      <c r="E17" s="39">
        <v>46103</v>
      </c>
      <c r="F17" s="10"/>
      <c r="G17" s="10"/>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row>
    <row r="18" spans="1:126" s="2" customFormat="1" ht="15" customHeight="1" thickBot="1" x14ac:dyDescent="0.3">
      <c r="A18" s="18"/>
      <c r="B18" s="67"/>
      <c r="C18" s="58" t="s">
        <v>26</v>
      </c>
      <c r="D18" s="39"/>
      <c r="E18" s="39"/>
      <c r="F18" s="10"/>
      <c r="G18" s="10"/>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row>
    <row r="19" spans="1:126" s="2" customFormat="1" ht="15" customHeight="1" thickBot="1" x14ac:dyDescent="0.3">
      <c r="A19" s="18"/>
      <c r="B19" s="66" t="s">
        <v>35</v>
      </c>
      <c r="C19" s="58" t="s">
        <v>25</v>
      </c>
      <c r="D19" s="39">
        <v>46076</v>
      </c>
      <c r="E19" s="39">
        <v>46103</v>
      </c>
      <c r="F19" s="10"/>
      <c r="G19" s="10">
        <f t="shared" si="67"/>
        <v>28</v>
      </c>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row>
    <row r="20" spans="1:126" s="2" customFormat="1" ht="15" customHeight="1" thickBot="1" x14ac:dyDescent="0.3">
      <c r="A20" s="18"/>
      <c r="B20" s="67"/>
      <c r="C20" s="58" t="s">
        <v>26</v>
      </c>
      <c r="D20" s="39"/>
      <c r="E20" s="39"/>
      <c r="F20" s="10"/>
      <c r="G20" s="10" t="str">
        <f t="shared" si="67"/>
        <v/>
      </c>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row>
    <row r="21" spans="1:126" s="2" customFormat="1" ht="30" customHeight="1" thickBot="1" x14ac:dyDescent="0.3">
      <c r="A21" s="17" t="s">
        <v>14</v>
      </c>
      <c r="B21" s="55" t="s">
        <v>44</v>
      </c>
      <c r="C21" s="40"/>
      <c r="D21" s="41"/>
      <c r="E21" s="42"/>
      <c r="F21" s="10"/>
      <c r="G21" s="10"/>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row>
    <row r="22" spans="1:126" s="2" customFormat="1" ht="15" customHeight="1" thickBot="1" x14ac:dyDescent="0.3">
      <c r="A22" s="17"/>
      <c r="B22" s="71"/>
      <c r="C22" s="43" t="s">
        <v>25</v>
      </c>
      <c r="D22" s="44">
        <v>46076</v>
      </c>
      <c r="E22" s="44">
        <v>46103</v>
      </c>
      <c r="F22" s="10"/>
      <c r="G22" s="10">
        <f t="shared" si="67"/>
        <v>28</v>
      </c>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row>
    <row r="23" spans="1:126" s="2" customFormat="1" ht="15" customHeight="1" thickBot="1" x14ac:dyDescent="0.3">
      <c r="A23" s="17"/>
      <c r="B23" s="72"/>
      <c r="C23" s="43" t="s">
        <v>26</v>
      </c>
      <c r="D23" s="44"/>
      <c r="E23" s="44"/>
      <c r="F23" s="10"/>
      <c r="G23" s="10" t="str">
        <f t="shared" si="67"/>
        <v/>
      </c>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row>
    <row r="24" spans="1:126" s="2" customFormat="1" ht="15" customHeight="1" thickBot="1" x14ac:dyDescent="0.3">
      <c r="A24" s="17"/>
      <c r="B24" s="71"/>
      <c r="C24" s="43" t="s">
        <v>25</v>
      </c>
      <c r="D24" s="44">
        <v>46076</v>
      </c>
      <c r="E24" s="44">
        <v>46103</v>
      </c>
      <c r="F24" s="10"/>
      <c r="G24" s="10">
        <f t="shared" si="67"/>
        <v>28</v>
      </c>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row>
    <row r="25" spans="1:126" s="2" customFormat="1" ht="15" customHeight="1" thickBot="1" x14ac:dyDescent="0.3">
      <c r="A25" s="17"/>
      <c r="B25" s="72"/>
      <c r="C25" s="43" t="s">
        <v>26</v>
      </c>
      <c r="D25" s="44"/>
      <c r="E25" s="44"/>
      <c r="F25" s="10"/>
      <c r="G25" s="10" t="str">
        <f t="shared" si="67"/>
        <v/>
      </c>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row>
    <row r="26" spans="1:126" s="2" customFormat="1" ht="30" customHeight="1" thickBot="1" x14ac:dyDescent="0.3">
      <c r="A26" s="17"/>
      <c r="B26" s="56" t="s">
        <v>39</v>
      </c>
      <c r="C26" s="45"/>
      <c r="D26" s="46"/>
      <c r="E26" s="47"/>
      <c r="F26" s="10"/>
      <c r="G26" s="10"/>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row>
    <row r="27" spans="1:126" s="2" customFormat="1" ht="15" customHeight="1" thickBot="1" x14ac:dyDescent="0.3">
      <c r="A27" s="17"/>
      <c r="B27" s="76" t="s">
        <v>36</v>
      </c>
      <c r="C27" s="48" t="s">
        <v>25</v>
      </c>
      <c r="D27" s="49">
        <v>46104</v>
      </c>
      <c r="E27" s="49">
        <v>46131</v>
      </c>
      <c r="F27" s="10"/>
      <c r="G27" s="10">
        <f t="shared" si="67"/>
        <v>28</v>
      </c>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row>
    <row r="28" spans="1:126" s="2" customFormat="1" ht="15" customHeight="1" thickBot="1" x14ac:dyDescent="0.3">
      <c r="A28" s="17"/>
      <c r="B28" s="77"/>
      <c r="C28" s="48" t="s">
        <v>26</v>
      </c>
      <c r="D28" s="49"/>
      <c r="E28" s="49"/>
      <c r="F28" s="10"/>
      <c r="G28" s="10" t="str">
        <f t="shared" si="67"/>
        <v/>
      </c>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62"/>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row>
    <row r="29" spans="1:126" s="2" customFormat="1" ht="15" customHeight="1" thickBot="1" x14ac:dyDescent="0.3">
      <c r="A29" s="17"/>
      <c r="B29" s="76" t="s">
        <v>37</v>
      </c>
      <c r="C29" s="48" t="s">
        <v>25</v>
      </c>
      <c r="D29" s="49">
        <v>46104</v>
      </c>
      <c r="E29" s="49">
        <v>46131</v>
      </c>
      <c r="F29" s="10"/>
      <c r="G29" s="10">
        <f t="shared" si="67"/>
        <v>28</v>
      </c>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row>
    <row r="30" spans="1:126" s="2" customFormat="1" ht="15" customHeight="1" thickBot="1" x14ac:dyDescent="0.3">
      <c r="A30" s="17"/>
      <c r="B30" s="77"/>
      <c r="C30" s="48" t="s">
        <v>26</v>
      </c>
      <c r="D30" s="49"/>
      <c r="E30" s="49"/>
      <c r="F30" s="10"/>
      <c r="G30" s="10" t="str">
        <f t="shared" si="67"/>
        <v/>
      </c>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row>
    <row r="31" spans="1:126" s="2" customFormat="1" ht="15" customHeight="1" thickBot="1" x14ac:dyDescent="0.3">
      <c r="A31" s="17"/>
      <c r="B31" s="76" t="s">
        <v>38</v>
      </c>
      <c r="C31" s="48" t="s">
        <v>25</v>
      </c>
      <c r="D31" s="49">
        <v>46104</v>
      </c>
      <c r="E31" s="49">
        <v>46131</v>
      </c>
      <c r="F31" s="10"/>
      <c r="G31" s="10">
        <f t="shared" si="67"/>
        <v>28</v>
      </c>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row>
    <row r="32" spans="1:126" s="2" customFormat="1" ht="15" customHeight="1" thickBot="1" x14ac:dyDescent="0.3">
      <c r="A32" s="17"/>
      <c r="B32" s="77"/>
      <c r="C32" s="48" t="s">
        <v>26</v>
      </c>
      <c r="D32" s="49"/>
      <c r="E32" s="49"/>
      <c r="F32" s="10"/>
      <c r="G32" s="10" t="str">
        <f t="shared" si="67"/>
        <v/>
      </c>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62"/>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row>
    <row r="33" spans="1:126" s="2" customFormat="1" ht="27.6" customHeight="1" thickBot="1" x14ac:dyDescent="0.3">
      <c r="A33" s="18" t="s">
        <v>11</v>
      </c>
      <c r="B33" s="53" t="s">
        <v>40</v>
      </c>
      <c r="C33" s="34"/>
      <c r="D33" s="34"/>
      <c r="E33" s="34"/>
      <c r="F33" s="10"/>
      <c r="G33" s="10" t="str">
        <f t="shared" si="67"/>
        <v/>
      </c>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row>
    <row r="34" spans="1:126" s="2" customFormat="1" ht="15.75" thickBot="1" x14ac:dyDescent="0.3">
      <c r="A34" s="18"/>
      <c r="B34" s="68"/>
      <c r="C34" s="35" t="s">
        <v>25</v>
      </c>
      <c r="D34" s="33">
        <v>46104</v>
      </c>
      <c r="E34" s="33">
        <v>46131</v>
      </c>
      <c r="F34" s="10"/>
      <c r="G34" s="10">
        <f t="shared" si="67"/>
        <v>28</v>
      </c>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row>
    <row r="35" spans="1:126" s="2" customFormat="1" ht="15.75" thickBot="1" x14ac:dyDescent="0.3">
      <c r="A35" s="18"/>
      <c r="B35" s="69"/>
      <c r="C35" s="35" t="s">
        <v>26</v>
      </c>
      <c r="D35" s="33"/>
      <c r="E35" s="33"/>
      <c r="F35" s="10"/>
      <c r="G35" s="10" t="str">
        <f t="shared" si="67"/>
        <v/>
      </c>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row>
    <row r="36" spans="1:126" s="2" customFormat="1" ht="15" customHeight="1" thickBot="1" x14ac:dyDescent="0.3">
      <c r="A36" s="18" t="s">
        <v>12</v>
      </c>
      <c r="B36" s="68"/>
      <c r="C36" s="35" t="s">
        <v>25</v>
      </c>
      <c r="D36" s="33">
        <v>46104</v>
      </c>
      <c r="E36" s="33">
        <v>46131</v>
      </c>
      <c r="F36" s="10"/>
      <c r="G36" s="10">
        <f t="shared" si="67"/>
        <v>28</v>
      </c>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row>
    <row r="37" spans="1:126" s="2" customFormat="1" ht="15" customHeight="1" thickBot="1" x14ac:dyDescent="0.3">
      <c r="A37" s="18"/>
      <c r="B37" s="69"/>
      <c r="C37" s="35" t="s">
        <v>26</v>
      </c>
      <c r="D37" s="33"/>
      <c r="E37" s="33"/>
      <c r="F37" s="10"/>
      <c r="G37" s="10" t="str">
        <f t="shared" si="67"/>
        <v/>
      </c>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row>
    <row r="38" spans="1:126" s="2" customFormat="1" ht="30" customHeight="1" thickBot="1" x14ac:dyDescent="0.3">
      <c r="A38" s="17" t="s">
        <v>14</v>
      </c>
      <c r="B38" s="55" t="s">
        <v>41</v>
      </c>
      <c r="C38" s="40"/>
      <c r="D38" s="41"/>
      <c r="E38" s="42"/>
      <c r="F38" s="10"/>
      <c r="G38" s="10"/>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row>
    <row r="39" spans="1:126" s="2" customFormat="1" ht="15" customHeight="1" thickBot="1" x14ac:dyDescent="0.3">
      <c r="A39" s="17"/>
      <c r="B39" s="71" t="s">
        <v>46</v>
      </c>
      <c r="C39" s="43" t="s">
        <v>25</v>
      </c>
      <c r="D39" s="44">
        <v>46132</v>
      </c>
      <c r="E39" s="44">
        <v>46145</v>
      </c>
      <c r="F39" s="10"/>
      <c r="G39" s="10">
        <f t="shared" si="67"/>
        <v>14</v>
      </c>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row>
    <row r="40" spans="1:126" s="2" customFormat="1" ht="15" customHeight="1" thickBot="1" x14ac:dyDescent="0.3">
      <c r="A40" s="17"/>
      <c r="B40" s="72"/>
      <c r="C40" s="43" t="s">
        <v>26</v>
      </c>
      <c r="D40" s="44"/>
      <c r="E40" s="44"/>
      <c r="F40" s="10"/>
      <c r="G40" s="10" t="str">
        <f t="shared" si="67"/>
        <v/>
      </c>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row>
    <row r="41" spans="1:126" s="2" customFormat="1" ht="15" customHeight="1" thickBot="1" x14ac:dyDescent="0.3">
      <c r="A41" s="17"/>
      <c r="B41" s="71" t="s">
        <v>42</v>
      </c>
      <c r="C41" s="43" t="s">
        <v>25</v>
      </c>
      <c r="D41" s="44">
        <v>46132</v>
      </c>
      <c r="E41" s="44">
        <v>46145</v>
      </c>
      <c r="F41" s="10"/>
      <c r="G41" s="10">
        <f t="shared" si="67"/>
        <v>14</v>
      </c>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row>
    <row r="42" spans="1:126" s="2" customFormat="1" ht="15" customHeight="1" thickBot="1" x14ac:dyDescent="0.3">
      <c r="A42" s="17"/>
      <c r="B42" s="72"/>
      <c r="C42" s="43" t="s">
        <v>26</v>
      </c>
      <c r="D42" s="44"/>
      <c r="E42" s="44"/>
      <c r="F42" s="10"/>
      <c r="G42" s="10" t="str">
        <f t="shared" si="67"/>
        <v/>
      </c>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row>
    <row r="43" spans="1:126" s="2" customFormat="1" ht="30" customHeight="1" thickBot="1" x14ac:dyDescent="0.3">
      <c r="A43" s="18" t="s">
        <v>13</v>
      </c>
      <c r="B43" s="54" t="s">
        <v>31</v>
      </c>
      <c r="C43" s="36"/>
      <c r="D43" s="37"/>
      <c r="E43" s="38"/>
      <c r="F43" s="10"/>
      <c r="G43" s="10"/>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row>
    <row r="44" spans="1:126" s="2" customFormat="1" ht="15" customHeight="1" thickBot="1" x14ac:dyDescent="0.3">
      <c r="A44" s="18"/>
      <c r="B44" s="66" t="s">
        <v>28</v>
      </c>
      <c r="C44" s="58" t="s">
        <v>25</v>
      </c>
      <c r="D44" s="39">
        <v>46146</v>
      </c>
      <c r="E44" s="39">
        <v>46159</v>
      </c>
      <c r="F44" s="10"/>
      <c r="G44" s="10">
        <f t="shared" si="67"/>
        <v>14</v>
      </c>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row>
    <row r="45" spans="1:126" s="2" customFormat="1" ht="15" customHeight="1" thickBot="1" x14ac:dyDescent="0.3">
      <c r="A45" s="18"/>
      <c r="B45" s="67"/>
      <c r="C45" s="58" t="s">
        <v>26</v>
      </c>
      <c r="D45" s="39"/>
      <c r="E45" s="39"/>
      <c r="F45" s="10"/>
      <c r="G45" s="10" t="str">
        <f t="shared" si="67"/>
        <v/>
      </c>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row>
    <row r="46" spans="1:126" s="2" customFormat="1" ht="15" customHeight="1" thickBot="1" x14ac:dyDescent="0.3">
      <c r="A46" s="18"/>
      <c r="B46" s="66" t="s">
        <v>29</v>
      </c>
      <c r="C46" s="58" t="s">
        <v>25</v>
      </c>
      <c r="D46" s="39">
        <v>46146</v>
      </c>
      <c r="E46" s="39">
        <v>46159</v>
      </c>
      <c r="F46" s="10"/>
      <c r="G46" s="10"/>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row>
    <row r="47" spans="1:126" s="2" customFormat="1" ht="15" customHeight="1" thickBot="1" x14ac:dyDescent="0.3">
      <c r="A47" s="18"/>
      <c r="B47" s="67"/>
      <c r="C47" s="58" t="s">
        <v>26</v>
      </c>
      <c r="D47" s="39"/>
      <c r="E47" s="39"/>
      <c r="F47" s="10"/>
      <c r="G47" s="10"/>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row>
    <row r="48" spans="1:126" s="2" customFormat="1" ht="30" customHeight="1" thickBot="1" x14ac:dyDescent="0.3">
      <c r="A48" s="17" t="s">
        <v>14</v>
      </c>
      <c r="B48" s="57" t="s">
        <v>27</v>
      </c>
      <c r="C48" s="50"/>
      <c r="D48" s="50"/>
      <c r="E48" s="50"/>
      <c r="F48" s="10"/>
      <c r="G48" s="10"/>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row>
    <row r="49" spans="1:126" s="2" customFormat="1" ht="15" customHeight="1" thickBot="1" x14ac:dyDescent="0.3">
      <c r="A49" s="17"/>
      <c r="B49" s="73" t="s">
        <v>20</v>
      </c>
      <c r="C49" s="51" t="s">
        <v>25</v>
      </c>
      <c r="D49" s="52">
        <v>46116</v>
      </c>
      <c r="E49" s="52">
        <v>46177</v>
      </c>
      <c r="F49" s="10"/>
      <c r="G49" s="10">
        <f t="shared" si="67"/>
        <v>62</v>
      </c>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row>
    <row r="50" spans="1:126" s="2" customFormat="1" ht="15" customHeight="1" thickBot="1" x14ac:dyDescent="0.3">
      <c r="A50" s="17"/>
      <c r="B50" s="75"/>
      <c r="C50" s="51" t="s">
        <v>26</v>
      </c>
      <c r="D50" s="52"/>
      <c r="E50" s="52"/>
      <c r="F50" s="10"/>
      <c r="G50" s="10" t="str">
        <f t="shared" si="67"/>
        <v/>
      </c>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row>
    <row r="51" spans="1:126" s="2" customFormat="1" ht="15" customHeight="1" thickBot="1" x14ac:dyDescent="0.3">
      <c r="A51" s="17"/>
      <c r="B51" s="73" t="s">
        <v>21</v>
      </c>
      <c r="C51" s="51" t="s">
        <v>25</v>
      </c>
      <c r="D51" s="52">
        <v>46178</v>
      </c>
      <c r="E51" s="52">
        <v>46178</v>
      </c>
      <c r="F51" s="10"/>
      <c r="G51" s="10">
        <f t="shared" si="67"/>
        <v>1</v>
      </c>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row>
    <row r="52" spans="1:126" s="2" customFormat="1" ht="15" customHeight="1" thickBot="1" x14ac:dyDescent="0.3">
      <c r="A52" s="17"/>
      <c r="B52" s="74"/>
      <c r="C52" s="51" t="s">
        <v>26</v>
      </c>
      <c r="D52" s="52"/>
      <c r="E52" s="52"/>
      <c r="F52" s="10"/>
      <c r="G52" s="10" t="str">
        <f t="shared" si="67"/>
        <v/>
      </c>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row>
    <row r="53" spans="1:126" s="2" customFormat="1" ht="30" customHeight="1" thickBot="1" x14ac:dyDescent="0.3">
      <c r="A53" s="17" t="s">
        <v>15</v>
      </c>
      <c r="B53" s="21"/>
      <c r="C53" s="9"/>
      <c r="D53" s="24"/>
      <c r="E53" s="24"/>
      <c r="F53" s="10"/>
      <c r="G53" s="10" t="str">
        <f t="shared" si="67"/>
        <v/>
      </c>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row>
    <row r="54" spans="1:126" s="2" customFormat="1" ht="30" customHeight="1" thickBot="1" x14ac:dyDescent="0.3">
      <c r="A54" s="18" t="s">
        <v>16</v>
      </c>
      <c r="B54" s="11" t="s">
        <v>17</v>
      </c>
      <c r="C54" s="12"/>
      <c r="D54" s="25"/>
      <c r="E54" s="26"/>
      <c r="F54" s="13"/>
      <c r="G54" s="13" t="str">
        <f t="shared" si="67"/>
        <v/>
      </c>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row>
    <row r="55" spans="1:126" ht="30" customHeight="1" x14ac:dyDescent="0.25">
      <c r="F55" s="5"/>
    </row>
    <row r="56" spans="1:126" ht="30" customHeight="1" x14ac:dyDescent="0.25">
      <c r="E56" s="19"/>
    </row>
  </sheetData>
  <mergeCells count="37">
    <mergeCell ref="DB3:DH3"/>
    <mergeCell ref="DI3:DO3"/>
    <mergeCell ref="DP3:DV3"/>
    <mergeCell ref="B24:B25"/>
    <mergeCell ref="B22:B23"/>
    <mergeCell ref="B51:B52"/>
    <mergeCell ref="B49:B50"/>
    <mergeCell ref="B31:B32"/>
    <mergeCell ref="B44:B45"/>
    <mergeCell ref="B46:B47"/>
    <mergeCell ref="B27:B28"/>
    <mergeCell ref="B29:B30"/>
    <mergeCell ref="B34:B35"/>
    <mergeCell ref="B36:B37"/>
    <mergeCell ref="B39:B40"/>
    <mergeCell ref="B41:B42"/>
    <mergeCell ref="D2:E2"/>
    <mergeCell ref="H3:N3"/>
    <mergeCell ref="O3:U3"/>
    <mergeCell ref="V3:AB3"/>
    <mergeCell ref="AC3:AI3"/>
    <mergeCell ref="CU3:DA3"/>
    <mergeCell ref="BL3:BR3"/>
    <mergeCell ref="BS3:BY3"/>
    <mergeCell ref="BZ3:CF3"/>
    <mergeCell ref="CG3:CM3"/>
    <mergeCell ref="CN3:CT3"/>
    <mergeCell ref="AQ3:AW3"/>
    <mergeCell ref="AX3:BD3"/>
    <mergeCell ref="BE3:BK3"/>
    <mergeCell ref="B15:B16"/>
    <mergeCell ref="B19:B20"/>
    <mergeCell ref="AJ3:AP3"/>
    <mergeCell ref="B8:B9"/>
    <mergeCell ref="B10:B11"/>
    <mergeCell ref="B12:B13"/>
    <mergeCell ref="B17:B18"/>
  </mergeCells>
  <conditionalFormatting sqref="H4:DA54">
    <cfRule type="expression" dxfId="15" priority="29">
      <formula>AND(TODAY()&gt;=H$4,TODAY()&lt;I$4)</formula>
    </cfRule>
  </conditionalFormatting>
  <conditionalFormatting sqref="H6:DA54">
    <cfRule type="expression" dxfId="14" priority="65">
      <formula>#REF!=H$4</formula>
    </cfRule>
    <cfRule type="expression" dxfId="13" priority="66">
      <formula>AND(task_end&gt;=H$4,task_start&lt;I$4,$C6=$E$6)</formula>
    </cfRule>
    <cfRule type="expression" dxfId="12" priority="67">
      <formula>AND(task_end&gt;=H$4,task_start&lt;I$4,$C6=$D$6)</formula>
    </cfRule>
  </conditionalFormatting>
  <conditionalFormatting sqref="DB4:DH54">
    <cfRule type="expression" dxfId="11" priority="9">
      <formula>AND(TODAY()&gt;=DB$4,TODAY()&lt;DC$4)</formula>
    </cfRule>
  </conditionalFormatting>
  <conditionalFormatting sqref="DB6:DH54">
    <cfRule type="expression" dxfId="10" priority="10">
      <formula>#REF!=DB$4</formula>
    </cfRule>
    <cfRule type="expression" dxfId="9" priority="11">
      <formula>AND(task_end&gt;=DB$4,task_start&lt;DC$4,$C6=$E$6)</formula>
    </cfRule>
    <cfRule type="expression" dxfId="8" priority="12">
      <formula>AND(task_end&gt;=DB$4,task_start&lt;DC$4,$C6=$D$6)</formula>
    </cfRule>
  </conditionalFormatting>
  <conditionalFormatting sqref="DI4:DO54">
    <cfRule type="expression" dxfId="7" priority="5">
      <formula>AND(TODAY()&gt;=DI$4,TODAY()&lt;DJ$4)</formula>
    </cfRule>
  </conditionalFormatting>
  <conditionalFormatting sqref="DI6:DO54">
    <cfRule type="expression" dxfId="6" priority="6">
      <formula>#REF!=DI$4</formula>
    </cfRule>
    <cfRule type="expression" dxfId="5" priority="7">
      <formula>AND(task_end&gt;=DI$4,task_start&lt;DJ$4,$C6=$E$6)</formula>
    </cfRule>
    <cfRule type="expression" dxfId="4" priority="8">
      <formula>AND(task_end&gt;=DI$4,task_start&lt;DJ$4,$C6=$D$6)</formula>
    </cfRule>
  </conditionalFormatting>
  <conditionalFormatting sqref="DP4:DV54">
    <cfRule type="expression" dxfId="3" priority="1">
      <formula>AND(TODAY()&gt;=DP$4,TODAY()&lt;DQ$4)</formula>
    </cfRule>
  </conditionalFormatting>
  <conditionalFormatting sqref="DP6:DV54">
    <cfRule type="expression" dxfId="2" priority="2">
      <formula>#REF!=DP$4</formula>
    </cfRule>
    <cfRule type="expression" dxfId="1" priority="3">
      <formula>AND(task_end&gt;=DP$4,task_start&lt;DQ$4,$C6=$E$6)</formula>
    </cfRule>
    <cfRule type="expression" dxfId="0" priority="4">
      <formula>AND(task_end&gt;=DP$4,task_start&lt;DQ$4,$C6=$D$6)</formula>
    </cfRule>
  </conditionalFormatting>
  <dataValidations disablePrompts="1" count="1">
    <dataValidation type="whole" operator="greaterThanOrEqual" allowBlank="1" showInputMessage="1" promptTitle="Woche anzeigen" prompt="Das Ändern dieser Zahl bewirkt ein Scrollen in der Gantt-Diagrammansicht." sqref="D3" xr:uid="{00000000-0002-0000-0000-000000000000}">
      <formula1>1</formula1>
    </dataValidation>
  </dataValidations>
  <printOptions horizontalCentered="1"/>
  <pageMargins left="0.35" right="0.35" top="0.35" bottom="0.5" header="0.3" footer="0.3"/>
  <pageSetup paperSize="8" scale="53" fitToHeight="0" orientation="landscape" r:id="rId1"/>
  <headerFooter differentFirst="1" scaleWithDoc="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d8d41c4-2d1a-4f79-aab5-2440921370ad" xsi:nil="true"/>
    <lcf76f155ced4ddcb4097134ff3c332f xmlns="21da7c7b-2a86-4dff-bdbf-913f324e805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E708E235B0E5CE4EBF02E35118BE8A61" ma:contentTypeVersion="12" ma:contentTypeDescription="Ein neues Dokument erstellen." ma:contentTypeScope="" ma:versionID="c9cf5307cf036da9aa5d5eb7826aa596">
  <xsd:schema xmlns:xsd="http://www.w3.org/2001/XMLSchema" xmlns:xs="http://www.w3.org/2001/XMLSchema" xmlns:p="http://schemas.microsoft.com/office/2006/metadata/properties" xmlns:ns2="21da7c7b-2a86-4dff-bdbf-913f324e8051" xmlns:ns3="3d8d41c4-2d1a-4f79-aab5-2440921370ad" targetNamespace="http://schemas.microsoft.com/office/2006/metadata/properties" ma:root="true" ma:fieldsID="cc1ee7d851c350a78eceaa91df4bcabc" ns2:_="" ns3:_="">
    <xsd:import namespace="21da7c7b-2a86-4dff-bdbf-913f324e8051"/>
    <xsd:import namespace="3d8d41c4-2d1a-4f79-aab5-2440921370a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da7c7b-2a86-4dff-bdbf-913f324e80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19e3ed14-352d-4aa2-a63b-0b06d7ab5fe8"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8d41c4-2d1a-4f79-aab5-2440921370a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f98deea-ad7b-4f85-89c3-5eb06cd4979d}" ma:internalName="TaxCatchAll" ma:showField="CatchAllData" ma:web="3d8d41c4-2d1a-4f79-aab5-2440921370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3d8d41c4-2d1a-4f79-aab5-2440921370ad"/>
    <ds:schemaRef ds:uri="21da7c7b-2a86-4dff-bdbf-913f324e8051"/>
  </ds:schemaRefs>
</ds:datastoreItem>
</file>

<file path=customXml/itemProps2.xml><?xml version="1.0" encoding="utf-8"?>
<ds:datastoreItem xmlns:ds="http://schemas.openxmlformats.org/officeDocument/2006/customXml" ds:itemID="{34BE0F69-5617-44E2-9F76-316AC1DD72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da7c7b-2a86-4dff-bdbf-913f324e8051"/>
    <ds:schemaRef ds:uri="3d8d41c4-2d1a-4f79-aab5-2440921370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6</vt:i4>
      </vt:variant>
    </vt:vector>
  </HeadingPairs>
  <TitlesOfParts>
    <vt:vector size="7" baseType="lpstr">
      <vt:lpstr>Project plan</vt:lpstr>
      <vt:lpstr>Anzeigewoche</vt:lpstr>
      <vt:lpstr>'Project plan'!Drucktitel</vt:lpstr>
      <vt:lpstr>Projektanfang</vt:lpstr>
      <vt:lpstr>'Project plan'!task_end</vt:lpstr>
      <vt:lpstr>'Project plan'!task_progress</vt:lpstr>
      <vt:lpstr>'Project plan'!task_start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2023-02-24T09:08:59Z</dcterms:created>
  <dcterms:modified xsi:type="dcterms:W3CDTF">2026-02-20T08:18:21Z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0x010100E708E235B0E5CE4EBF02E35118BE8A61</vt:lpwstr>
  </property>
  <property fmtid="{D5CDD505-2E9C-101B-9397-08002B2CF9AE}" pid="3" name="MediaServiceImageTags">
    <vt:lpwstr/>
  </property>
</Properties>
</file>